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lingsolutions0-my.sharepoint.com/personal/info_controlling-solutions_com/Documents/A_Controlling Solutions/Projekte/Kunsthaus Meran/Kostenanalyse/Projektsoftware/data/"/>
    </mc:Choice>
  </mc:AlternateContent>
  <xr:revisionPtr revIDLastSave="0" documentId="8_{DE038949-A45B-4745-9F20-548611161F9C}" xr6:coauthVersionLast="47" xr6:coauthVersionMax="47" xr10:uidLastSave="{00000000-0000-0000-0000-000000000000}"/>
  <bookViews>
    <workbookView xWindow="-98" yWindow="-98" windowWidth="22695" windowHeight="13546" xr2:uid="{A98BB2FE-8234-4D2D-B42D-03CC79F09ECD}"/>
  </bookViews>
  <sheets>
    <sheet name="DB-Rech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7" i="1" l="1"/>
  <c r="F87" i="1"/>
  <c r="E87" i="1"/>
  <c r="D87" i="1"/>
  <c r="C87" i="1"/>
  <c r="F85" i="1"/>
  <c r="E85" i="1"/>
  <c r="F84" i="1"/>
  <c r="E84" i="1"/>
  <c r="G82" i="1"/>
  <c r="D82" i="1"/>
  <c r="C82" i="1"/>
  <c r="G81" i="1"/>
  <c r="F81" i="1"/>
  <c r="E81" i="1"/>
  <c r="D81" i="1"/>
  <c r="C81" i="1"/>
  <c r="G79" i="1"/>
  <c r="F79" i="1"/>
  <c r="E79" i="1"/>
  <c r="D79" i="1"/>
  <c r="C79" i="1"/>
  <c r="G77" i="1"/>
  <c r="F77" i="1"/>
  <c r="E77" i="1"/>
  <c r="D77" i="1"/>
  <c r="C77" i="1"/>
  <c r="F76" i="1"/>
  <c r="E76" i="1"/>
  <c r="F75" i="1"/>
  <c r="E75" i="1"/>
  <c r="F74" i="1"/>
  <c r="E74" i="1"/>
  <c r="F73" i="1"/>
  <c r="E73" i="1"/>
  <c r="G71" i="1"/>
  <c r="F71" i="1"/>
  <c r="E71" i="1"/>
  <c r="D71" i="1"/>
  <c r="C71" i="1"/>
  <c r="F70" i="1"/>
  <c r="E70" i="1"/>
  <c r="F69" i="1"/>
  <c r="E69" i="1"/>
  <c r="F68" i="1"/>
  <c r="E68" i="1"/>
  <c r="F67" i="1"/>
  <c r="E67" i="1"/>
  <c r="G65" i="1"/>
  <c r="F65" i="1"/>
  <c r="E65" i="1"/>
  <c r="D65" i="1"/>
  <c r="C65" i="1"/>
  <c r="F64" i="1"/>
  <c r="E64" i="1"/>
  <c r="F63" i="1"/>
  <c r="E63" i="1"/>
  <c r="F62" i="1"/>
  <c r="E62" i="1"/>
  <c r="F61" i="1"/>
  <c r="E61" i="1"/>
  <c r="F60" i="1"/>
  <c r="E60" i="1"/>
  <c r="G58" i="1"/>
  <c r="F58" i="1"/>
  <c r="E58" i="1"/>
  <c r="D58" i="1"/>
  <c r="C58" i="1"/>
  <c r="F57" i="1"/>
  <c r="E57" i="1"/>
  <c r="F56" i="1"/>
  <c r="E56" i="1"/>
  <c r="F55" i="1"/>
  <c r="E55" i="1"/>
  <c r="F54" i="1"/>
  <c r="E54" i="1"/>
  <c r="F53" i="1"/>
  <c r="E53" i="1"/>
  <c r="G50" i="1"/>
  <c r="D50" i="1"/>
  <c r="C50" i="1"/>
  <c r="G49" i="1"/>
  <c r="F49" i="1"/>
  <c r="E49" i="1"/>
  <c r="D49" i="1"/>
  <c r="C49" i="1"/>
  <c r="G47" i="1"/>
  <c r="F47" i="1"/>
  <c r="E47" i="1"/>
  <c r="D47" i="1"/>
  <c r="C47" i="1"/>
  <c r="G45" i="1"/>
  <c r="F45" i="1"/>
  <c r="E45" i="1"/>
  <c r="D45" i="1"/>
  <c r="C45" i="1"/>
  <c r="F44" i="1"/>
  <c r="E44" i="1"/>
  <c r="F43" i="1"/>
  <c r="E43" i="1"/>
  <c r="F42" i="1"/>
  <c r="E42" i="1"/>
  <c r="F41" i="1"/>
  <c r="E41" i="1"/>
  <c r="F40" i="1"/>
  <c r="E40" i="1"/>
  <c r="F39" i="1"/>
  <c r="E39" i="1"/>
  <c r="G37" i="1"/>
  <c r="F37" i="1"/>
  <c r="E37" i="1"/>
  <c r="D37" i="1"/>
  <c r="C37" i="1"/>
  <c r="F36" i="1"/>
  <c r="E36" i="1"/>
  <c r="F35" i="1"/>
  <c r="E35" i="1"/>
  <c r="F34" i="1"/>
  <c r="E34" i="1"/>
  <c r="F33" i="1"/>
  <c r="E33" i="1"/>
  <c r="G30" i="1"/>
  <c r="F30" i="1"/>
  <c r="E30" i="1"/>
  <c r="D30" i="1"/>
  <c r="C30" i="1"/>
  <c r="G28" i="1"/>
  <c r="F28" i="1"/>
  <c r="E28" i="1"/>
  <c r="D28" i="1"/>
  <c r="C28" i="1"/>
  <c r="F27" i="1"/>
  <c r="E27" i="1"/>
  <c r="F26" i="1"/>
  <c r="E26" i="1"/>
  <c r="F25" i="1"/>
  <c r="E25" i="1"/>
  <c r="G23" i="1"/>
  <c r="F23" i="1"/>
  <c r="E23" i="1"/>
  <c r="D23" i="1"/>
  <c r="C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G13" i="1"/>
  <c r="F13" i="1"/>
  <c r="E13" i="1"/>
  <c r="D13" i="1"/>
  <c r="C13" i="1"/>
  <c r="F12" i="1"/>
  <c r="E12" i="1"/>
  <c r="F11" i="1"/>
  <c r="E11" i="1"/>
  <c r="F10" i="1"/>
  <c r="E10" i="1"/>
  <c r="F9" i="1"/>
  <c r="E9" i="1"/>
  <c r="F8" i="1"/>
  <c r="E8" i="1"/>
</calcChain>
</file>

<file path=xl/sharedStrings.xml><?xml version="1.0" encoding="utf-8"?>
<sst xmlns="http://schemas.openxmlformats.org/spreadsheetml/2006/main" count="96" uniqueCount="94">
  <si>
    <t>DECKUNGSBEITRAGSRECHNUNG</t>
  </si>
  <si>
    <t>Kunst Meran - Vorschlag Controlling</t>
  </si>
  <si>
    <t>Stand: 04.07.2026</t>
  </si>
  <si>
    <t>Position</t>
  </si>
  <si>
    <t>Konto</t>
  </si>
  <si>
    <t>YTD IST</t>
  </si>
  <si>
    <t>YTD SOLL</t>
  </si>
  <si>
    <t>Abweichung</t>
  </si>
  <si>
    <t>Abw. %</t>
  </si>
  <si>
    <t>Jahr BUDGET</t>
  </si>
  <si>
    <t>1. UMSÃ„TZE</t>
  </si>
  <si>
    <t xml:space="preserve">   ErlÃ¶se Shop</t>
  </si>
  <si>
    <t>6001*</t>
  </si>
  <si>
    <t xml:space="preserve">   ErlÃ¶se Verpachtung Bar</t>
  </si>
  <si>
    <t xml:space="preserve">   ErlÃ¶se Ausstellungen</t>
  </si>
  <si>
    <t xml:space="preserve">   ErlÃ¶se WerbetÃ¤tigkeit</t>
  </si>
  <si>
    <t xml:space="preserve">   ErlÃ¶se Bildung/Vermittlung</t>
  </si>
  <si>
    <t>1.1 ErlÃ¶se Lieferungen/Leistungen</t>
  </si>
  <si>
    <t xml:space="preserve">   MitgliedsbeitrÃ¤ge</t>
  </si>
  <si>
    <t xml:space="preserve">   Spenden</t>
  </si>
  <si>
    <t xml:space="preserve">   Beitrag Gemeinde Meran</t>
  </si>
  <si>
    <t xml:space="preserve">   Beitrag Provinz Bozen</t>
  </si>
  <si>
    <t xml:space="preserve">   Beitrag Region</t>
  </si>
  <si>
    <t xml:space="preserve">   BeitrÃ¤ge Stiftung Sparkasse</t>
  </si>
  <si>
    <t xml:space="preserve">   Sponsoring (Firmen)</t>
  </si>
  <si>
    <t xml:space="preserve">   Ã–ffentl. BeitrÃ¤ge Biennale</t>
  </si>
  <si>
    <t>1.2 ZuschÃ¼sse und BeitrÃ¤ge</t>
  </si>
  <si>
    <t>6401*</t>
  </si>
  <si>
    <t xml:space="preserve">   InvestitionsbeitrÃ¤ge</t>
  </si>
  <si>
    <t xml:space="preserve">   5 Promille Zuweisung</t>
  </si>
  <si>
    <t xml:space="preserve">   Sonstige ErtrÃ¤ge</t>
  </si>
  <si>
    <t>6400*</t>
  </si>
  <si>
    <t>1.3 Sonstige betriebliche ErtrÃ¤ge</t>
  </si>
  <si>
    <t>SUMME UMSÃ„TZE</t>
  </si>
  <si>
    <t>2. DIREKTE KOSTEN</t>
  </si>
  <si>
    <t xml:space="preserve">   Zukauf Ausstellung</t>
  </si>
  <si>
    <t xml:space="preserve">   Einkauf Verbrauchsmaterial</t>
  </si>
  <si>
    <t xml:space="preserve">   BÃ¼romaterial</t>
  </si>
  <si>
    <t xml:space="preserve">   Zukauf Shop</t>
  </si>
  <si>
    <t>(a) Materialkosten</t>
  </si>
  <si>
    <t>680*</t>
  </si>
  <si>
    <t xml:space="preserve">   Dienstleistung Ausstellung</t>
  </si>
  <si>
    <t xml:space="preserve">   Dienstleistung Kataloge</t>
  </si>
  <si>
    <t xml:space="preserve">   Dienstleistung Projekte</t>
  </si>
  <si>
    <t xml:space="preserve">   DL Projekte Venedig</t>
  </si>
  <si>
    <t xml:space="preserve">   Reisekosten KÃ¼nstler</t>
  </si>
  <si>
    <t xml:space="preserve">   Unterkunft KÃ¼nstler</t>
  </si>
  <si>
    <t>(b) Dienstleistungen (Ausst./Projekte)</t>
  </si>
  <si>
    <t>690125*</t>
  </si>
  <si>
    <t>SUMME DIREKTE KOSTEN</t>
  </si>
  <si>
    <t>3. DECKUNGSBEITRAG 1 (DB1)</t>
  </si>
  <si>
    <t xml:space="preserve">   DB1-Marge (in % der UmsÃ¤tze)</t>
  </si>
  <si>
    <t>4. STRUKTURKOSTEN</t>
  </si>
  <si>
    <t xml:space="preserve">   Sonstige Dienstleistungen</t>
  </si>
  <si>
    <t xml:space="preserve">   Betriebl. Aufwendungen</t>
  </si>
  <si>
    <t xml:space="preserve">   Honorare Vermittler</t>
  </si>
  <si>
    <t xml:space="preserve">   Steuer-/Wirtschaftsberatung</t>
  </si>
  <si>
    <t xml:space="preserve">   Verwaltung/Lohnspesen</t>
  </si>
  <si>
    <t>(a) Verwaltung</t>
  </si>
  <si>
    <t>6901/02*</t>
  </si>
  <si>
    <t xml:space="preserve">   Miete CafÃ© Kunsthaus</t>
  </si>
  <si>
    <t xml:space="preserve">   Miete Ausstellungsbereich</t>
  </si>
  <si>
    <t xml:space="preserve">   Miete BÃ¼ro</t>
  </si>
  <si>
    <t xml:space="preserve">   Miete Biennale Venedig</t>
  </si>
  <si>
    <t xml:space="preserve">   Software</t>
  </si>
  <si>
    <t>(b) Strukturen (inkl. Miete)</t>
  </si>
  <si>
    <t>700*</t>
  </si>
  <si>
    <t xml:space="preserve">   Strom</t>
  </si>
  <si>
    <t xml:space="preserve">   Telefon/Internet</t>
  </si>
  <si>
    <t xml:space="preserve">   Versicherungen</t>
  </si>
  <si>
    <t xml:space="preserve">   Reinigungsdienste</t>
  </si>
  <si>
    <t>(c) GebÃ¤udekosten</t>
  </si>
  <si>
    <t>690241/42*</t>
  </si>
  <si>
    <t xml:space="preserve">   Personalspesen (GehÃ¤lter)</t>
  </si>
  <si>
    <t xml:space="preserve">   Sozialabgaben</t>
  </si>
  <si>
    <t xml:space="preserve">   Abfertigungsfond</t>
  </si>
  <si>
    <t xml:space="preserve">   Essenmarken</t>
  </si>
  <si>
    <t>(d) Personalkosten</t>
  </si>
  <si>
    <t>710*</t>
  </si>
  <si>
    <t>SUMME STRUKTURKOSTEN</t>
  </si>
  <si>
    <t>5. DECKUNGSBEITRAG 2 / EBITDA</t>
  </si>
  <si>
    <t xml:space="preserve">   EBITDA-Marge (in % der UmsÃ¤tze)</t>
  </si>
  <si>
    <t>6. Abschreibungen (kalk.)</t>
  </si>
  <si>
    <t>720*</t>
  </si>
  <si>
    <t>7. Zinsen</t>
  </si>
  <si>
    <t>850*</t>
  </si>
  <si>
    <t>8. ERGEBNIS</t>
  </si>
  <si>
    <t>LEGENDE / ERKLÃ„RUNG</t>
  </si>
  <si>
    <t>YTD IST = Jahr bis dato - tatsÃ¤chlich angefallene/eingegangene BetrÃ¤ge</t>
  </si>
  <si>
    <t>YTD SOLL = Jahr bis dato - geplante BetrÃ¤ge (anteilig auf Monate verteilt)</t>
  </si>
  <si>
    <t>Jahr BUDGET = Geplantes Gesamtbudget fÃ¼r das Jahr</t>
  </si>
  <si>
    <t>Abweichung = Differenz IST zu SOLL (positiv = besser als geplant bei UmsÃ¤tzen, schlechter bei Kosten)</t>
  </si>
  <si>
    <t>DB1 = Deckungsbeitrag 1 = UmsÃ¤tze - Direkte Kosten (KerngeschÃ¤ft)</t>
  </si>
  <si>
    <t>DB2/EBITDA = Deckungsbeitrag 2 = DB1 - Strukturkosten (operatives 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</si>
</sst>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[Red]\-#,##0"/>
    <numFmt numFmtId="166" formatCode="0.0%;[Red]\-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E6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8DCFF"/>
        <bgColor indexed="64"/>
      </patternFill>
    </fill>
    <fill>
      <patternFill patternType="solid">
        <fgColor rgb="FFFFFF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1" fillId="4" borderId="1" xfId="0" applyFont="1" applyFill="1" applyBorder="1"/>
    <xf numFmtId="3" fontId="1" fillId="4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3" fontId="1" fillId="5" borderId="1" xfId="0" applyNumberFormat="1" applyFont="1" applyFill="1" applyBorder="1" applyAlignment="1">
      <alignment horizontal="right"/>
    </xf>
    <xf numFmtId="0" fontId="1" fillId="6" borderId="1" xfId="0" applyFont="1" applyFill="1" applyBorder="1"/>
    <xf numFmtId="3" fontId="1" fillId="6" borderId="1" xfId="0" applyNumberFormat="1" applyFont="1" applyFill="1" applyBorder="1" applyAlignment="1">
      <alignment horizontal="right"/>
    </xf>
    <xf numFmtId="0" fontId="5" fillId="7" borderId="1" xfId="0" applyFont="1" applyFill="1" applyBorder="1"/>
    <xf numFmtId="0" fontId="1" fillId="7" borderId="1" xfId="0" applyFont="1" applyFill="1" applyBorder="1"/>
    <xf numFmtId="3" fontId="1" fillId="7" borderId="1" xfId="0" applyNumberFormat="1" applyFont="1" applyFill="1" applyBorder="1" applyAlignment="1">
      <alignment horizontal="right"/>
    </xf>
    <xf numFmtId="0" fontId="6" fillId="0" borderId="1" xfId="0" applyFont="1" applyBorder="1"/>
    <xf numFmtId="164" fontId="0" fillId="0" borderId="1" xfId="0" applyNumberFormat="1" applyBorder="1"/>
    <xf numFmtId="0" fontId="5" fillId="8" borderId="1" xfId="0" applyFont="1" applyFill="1" applyBorder="1"/>
    <xf numFmtId="3" fontId="5" fillId="8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0" fillId="0" borderId="1" xfId="0" applyNumberFormat="1" applyBorder="1"/>
    <xf numFmtId="165" fontId="0" fillId="3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 applyAlignment="1">
      <alignment horizontal="right"/>
    </xf>
    <xf numFmtId="165" fontId="5" fillId="8" borderId="1" xfId="0" applyNumberFormat="1" applyFont="1" applyFill="1" applyBorder="1" applyAlignment="1">
      <alignment horizontal="right"/>
    </xf>
    <xf numFmtId="165" fontId="0" fillId="3" borderId="0" xfId="0" applyNumberFormat="1" applyFill="1"/>
    <xf numFmtId="165" fontId="0" fillId="0" borderId="0" xfId="0" applyNumberFormat="1"/>
    <xf numFmtId="166" fontId="4" fillId="2" borderId="1" xfId="0" applyNumberFormat="1" applyFont="1" applyFill="1" applyBorder="1" applyAlignment="1">
      <alignment horizontal="right"/>
    </xf>
    <xf numFmtId="166" fontId="0" fillId="0" borderId="1" xfId="0" applyNumberFormat="1" applyBorder="1"/>
    <xf numFmtId="166" fontId="0" fillId="3" borderId="1" xfId="0" applyNumberFormat="1" applyFill="1" applyBorder="1"/>
    <xf numFmtId="166" fontId="0" fillId="0" borderId="1" xfId="0" applyNumberFormat="1" applyBorder="1" applyAlignment="1">
      <alignment horizontal="right"/>
    </xf>
    <xf numFmtId="166" fontId="1" fillId="4" borderId="1" xfId="0" applyNumberFormat="1" applyFont="1" applyFill="1" applyBorder="1" applyAlignment="1">
      <alignment horizontal="right"/>
    </xf>
    <xf numFmtId="166" fontId="1" fillId="5" borderId="1" xfId="0" applyNumberFormat="1" applyFont="1" applyFill="1" applyBorder="1" applyAlignment="1">
      <alignment horizontal="right"/>
    </xf>
    <xf numFmtId="166" fontId="1" fillId="6" borderId="1" xfId="0" applyNumberFormat="1" applyFont="1" applyFill="1" applyBorder="1" applyAlignment="1">
      <alignment horizontal="right"/>
    </xf>
    <xf numFmtId="166" fontId="1" fillId="7" borderId="1" xfId="0" applyNumberFormat="1" applyFont="1" applyFill="1" applyBorder="1" applyAlignment="1">
      <alignment horizontal="right"/>
    </xf>
    <xf numFmtId="166" fontId="5" fillId="8" borderId="1" xfId="0" applyNumberFormat="1" applyFont="1" applyFill="1" applyBorder="1" applyAlignment="1">
      <alignment horizontal="right"/>
    </xf>
    <xf numFmtId="166" fontId="0" fillId="3" borderId="0" xfId="0" applyNumberFormat="1" applyFill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78FA-A199-4D37-AB93-52A8F3637781}">
  <dimension ref="A1:G97"/>
  <sheetViews>
    <sheetView tabSelected="1" workbookViewId="0"/>
  </sheetViews>
  <sheetFormatPr baseColWidth="10" defaultRowHeight="14.25" x14ac:dyDescent="0.45"/>
  <cols>
    <col min="1" max="1" width="40.59765625" customWidth="1"/>
    <col min="2" max="4" width="14.59765625" customWidth="1"/>
    <col min="5" max="5" width="14.59765625" style="36" customWidth="1"/>
    <col min="6" max="6" width="10.59765625" style="47" customWidth="1"/>
    <col min="7" max="7" width="14.59765625" customWidth="1"/>
  </cols>
  <sheetData>
    <row r="1" spans="1:7" ht="21" x14ac:dyDescent="0.65">
      <c r="A1" s="1" t="s">
        <v>0</v>
      </c>
      <c r="B1" s="1"/>
      <c r="C1" s="1"/>
      <c r="D1" s="1"/>
      <c r="E1" s="1"/>
      <c r="F1" s="1"/>
      <c r="G1" s="1"/>
    </row>
    <row r="2" spans="1:7" ht="15.75" x14ac:dyDescent="0.5">
      <c r="A2" s="2" t="s">
        <v>1</v>
      </c>
      <c r="B2" s="2"/>
      <c r="C2" s="2"/>
      <c r="D2" s="2"/>
      <c r="E2" s="2"/>
      <c r="F2" s="2"/>
      <c r="G2" s="2"/>
    </row>
    <row r="3" spans="1:7" x14ac:dyDescent="0.45">
      <c r="A3" s="3" t="s">
        <v>2</v>
      </c>
      <c r="B3" s="3"/>
      <c r="C3" s="3"/>
      <c r="D3" s="3"/>
      <c r="E3" s="3"/>
      <c r="F3" s="3"/>
      <c r="G3" s="3"/>
    </row>
    <row r="5" spans="1:7" x14ac:dyDescent="0.45">
      <c r="A5" s="7" t="s">
        <v>3</v>
      </c>
      <c r="B5" s="7" t="s">
        <v>4</v>
      </c>
      <c r="C5" s="8" t="s">
        <v>5</v>
      </c>
      <c r="D5" s="8" t="s">
        <v>6</v>
      </c>
      <c r="E5" s="26" t="s">
        <v>7</v>
      </c>
      <c r="F5" s="37" t="s">
        <v>8</v>
      </c>
      <c r="G5" s="8" t="s">
        <v>9</v>
      </c>
    </row>
    <row r="6" spans="1:7" x14ac:dyDescent="0.45">
      <c r="A6" s="9"/>
      <c r="B6" s="9"/>
      <c r="C6" s="9"/>
      <c r="D6" s="9"/>
      <c r="E6" s="27"/>
      <c r="F6" s="38"/>
      <c r="G6" s="9"/>
    </row>
    <row r="7" spans="1:7" x14ac:dyDescent="0.45">
      <c r="A7" s="10" t="s">
        <v>10</v>
      </c>
      <c r="B7" s="11"/>
      <c r="C7" s="11"/>
      <c r="D7" s="11"/>
      <c r="E7" s="28"/>
      <c r="F7" s="39"/>
      <c r="G7" s="11"/>
    </row>
    <row r="8" spans="1:7" x14ac:dyDescent="0.45">
      <c r="A8" s="9" t="s">
        <v>11</v>
      </c>
      <c r="B8" s="9" t="s">
        <v>12</v>
      </c>
      <c r="C8" s="12">
        <v>25800</v>
      </c>
      <c r="D8" s="12">
        <v>32167</v>
      </c>
      <c r="E8" s="29">
        <f>C8-D8</f>
        <v>-6367</v>
      </c>
      <c r="F8" s="40">
        <f>IF(D8=0,0,(C8-D8)/D8)</f>
        <v>-0.19793577268629339</v>
      </c>
      <c r="G8" s="12">
        <v>38752</v>
      </c>
    </row>
    <row r="9" spans="1:7" x14ac:dyDescent="0.45">
      <c r="A9" s="9" t="s">
        <v>13</v>
      </c>
      <c r="B9" s="9">
        <v>60010101550</v>
      </c>
      <c r="C9" s="12">
        <v>24200</v>
      </c>
      <c r="D9" s="12">
        <v>30333</v>
      </c>
      <c r="E9" s="29">
        <f>C9-D9</f>
        <v>-6133</v>
      </c>
      <c r="F9" s="40">
        <f>IF(D9=0,0,(C9-D9)/D9)</f>
        <v>-0.20218903504434116</v>
      </c>
      <c r="G9" s="12">
        <v>36400</v>
      </c>
    </row>
    <row r="10" spans="1:7" x14ac:dyDescent="0.45">
      <c r="A10" s="9" t="s">
        <v>14</v>
      </c>
      <c r="B10" s="9">
        <v>600151051</v>
      </c>
      <c r="C10" s="12">
        <v>10800</v>
      </c>
      <c r="D10" s="12">
        <v>13540</v>
      </c>
      <c r="E10" s="29">
        <f>C10-D10</f>
        <v>-2740</v>
      </c>
      <c r="F10" s="40">
        <f>IF(D10=0,0,(C10-D10)/D10)</f>
        <v>-0.20236336779911374</v>
      </c>
      <c r="G10" s="12">
        <v>16248</v>
      </c>
    </row>
    <row r="11" spans="1:7" x14ac:dyDescent="0.45">
      <c r="A11" s="9" t="s">
        <v>15</v>
      </c>
      <c r="B11" s="9">
        <v>600151053</v>
      </c>
      <c r="C11" s="12">
        <v>43300</v>
      </c>
      <c r="D11" s="12">
        <v>54165</v>
      </c>
      <c r="E11" s="29">
        <f>C11-D11</f>
        <v>-10865</v>
      </c>
      <c r="F11" s="40">
        <f>IF(D11=0,0,(C11-D11)/D11)</f>
        <v>-0.20059078740884334</v>
      </c>
      <c r="G11" s="12">
        <v>64998</v>
      </c>
    </row>
    <row r="12" spans="1:7" x14ac:dyDescent="0.45">
      <c r="A12" s="9" t="s">
        <v>16</v>
      </c>
      <c r="B12" s="9">
        <v>600151055</v>
      </c>
      <c r="C12" s="12">
        <v>885</v>
      </c>
      <c r="D12" s="12">
        <v>1106</v>
      </c>
      <c r="E12" s="29">
        <f>C12-D12</f>
        <v>-221</v>
      </c>
      <c r="F12" s="40">
        <f>IF(D12=0,0,(C12-D12)/D12)</f>
        <v>-0.19981916817359854</v>
      </c>
      <c r="G12" s="12">
        <v>1327</v>
      </c>
    </row>
    <row r="13" spans="1:7" x14ac:dyDescent="0.45">
      <c r="A13" s="13" t="s">
        <v>17</v>
      </c>
      <c r="B13" s="13" t="s">
        <v>12</v>
      </c>
      <c r="C13" s="14">
        <f>SUM(C8:C12)</f>
        <v>104985</v>
      </c>
      <c r="D13" s="14">
        <f>SUM(D8:D12)</f>
        <v>131311</v>
      </c>
      <c r="E13" s="30">
        <f>C13-D13</f>
        <v>-26326</v>
      </c>
      <c r="F13" s="41">
        <f>IF(D13=0,0,(C13-D13)/D13)</f>
        <v>-0.20048586942449603</v>
      </c>
      <c r="G13" s="14">
        <f>SUM(G8:G12)</f>
        <v>157725</v>
      </c>
    </row>
    <row r="14" spans="1:7" x14ac:dyDescent="0.45">
      <c r="A14" s="9"/>
      <c r="B14" s="9"/>
      <c r="C14" s="9"/>
      <c r="D14" s="9"/>
      <c r="E14" s="27"/>
      <c r="F14" s="38"/>
      <c r="G14" s="9"/>
    </row>
    <row r="15" spans="1:7" x14ac:dyDescent="0.45">
      <c r="A15" s="9" t="s">
        <v>18</v>
      </c>
      <c r="B15" s="9">
        <v>6401550</v>
      </c>
      <c r="C15" s="12">
        <v>9000</v>
      </c>
      <c r="D15" s="12">
        <v>11250</v>
      </c>
      <c r="E15" s="29">
        <f>C15-D15</f>
        <v>-2250</v>
      </c>
      <c r="F15" s="40">
        <f>IF(D15=0,0,(C15-D15)/D15)</f>
        <v>-0.2</v>
      </c>
      <c r="G15" s="12">
        <v>13500</v>
      </c>
    </row>
    <row r="16" spans="1:7" x14ac:dyDescent="0.45">
      <c r="A16" s="9" t="s">
        <v>19</v>
      </c>
      <c r="B16" s="9">
        <v>6401551</v>
      </c>
      <c r="C16" s="12">
        <v>7900</v>
      </c>
      <c r="D16" s="12">
        <v>9917</v>
      </c>
      <c r="E16" s="29">
        <f>C16-D16</f>
        <v>-2017</v>
      </c>
      <c r="F16" s="40">
        <f>IF(D16=0,0,(C16-D16)/D16)</f>
        <v>-0.20338812140768378</v>
      </c>
      <c r="G16" s="12">
        <v>11900</v>
      </c>
    </row>
    <row r="17" spans="1:7" x14ac:dyDescent="0.45">
      <c r="A17" s="9" t="s">
        <v>20</v>
      </c>
      <c r="B17" s="9">
        <v>6401552</v>
      </c>
      <c r="C17" s="12">
        <v>68400</v>
      </c>
      <c r="D17" s="12">
        <v>85500</v>
      </c>
      <c r="E17" s="29">
        <f>C17-D17</f>
        <v>-17100</v>
      </c>
      <c r="F17" s="40">
        <f>IF(D17=0,0,(C17-D17)/D17)</f>
        <v>-0.2</v>
      </c>
      <c r="G17" s="12">
        <v>102600</v>
      </c>
    </row>
    <row r="18" spans="1:7" x14ac:dyDescent="0.45">
      <c r="A18" s="9" t="s">
        <v>21</v>
      </c>
      <c r="B18" s="9">
        <v>6401554</v>
      </c>
      <c r="C18" s="12">
        <v>236659</v>
      </c>
      <c r="D18" s="12">
        <v>295824</v>
      </c>
      <c r="E18" s="29">
        <f>C18-D18</f>
        <v>-59165</v>
      </c>
      <c r="F18" s="40">
        <f>IF(D18=0,0,(C18-D18)/D18)</f>
        <v>-0.2000006760776678</v>
      </c>
      <c r="G18" s="12">
        <v>354989</v>
      </c>
    </row>
    <row r="19" spans="1:7" x14ac:dyDescent="0.45">
      <c r="A19" s="9" t="s">
        <v>22</v>
      </c>
      <c r="B19" s="9">
        <v>6401556</v>
      </c>
      <c r="C19" s="12">
        <v>12000</v>
      </c>
      <c r="D19" s="12">
        <v>15000</v>
      </c>
      <c r="E19" s="29">
        <f>C19-D19</f>
        <v>-3000</v>
      </c>
      <c r="F19" s="40">
        <f>IF(D19=0,0,(C19-D19)/D19)</f>
        <v>-0.2</v>
      </c>
      <c r="G19" s="12">
        <v>18000</v>
      </c>
    </row>
    <row r="20" spans="1:7" x14ac:dyDescent="0.45">
      <c r="A20" s="9" t="s">
        <v>23</v>
      </c>
      <c r="B20" s="9">
        <v>6401557</v>
      </c>
      <c r="C20" s="12">
        <v>60000</v>
      </c>
      <c r="D20" s="12">
        <v>75000</v>
      </c>
      <c r="E20" s="29">
        <f>C20-D20</f>
        <v>-15000</v>
      </c>
      <c r="F20" s="40">
        <f>IF(D20=0,0,(C20-D20)/D20)</f>
        <v>-0.2</v>
      </c>
      <c r="G20" s="12">
        <v>90000</v>
      </c>
    </row>
    <row r="21" spans="1:7" x14ac:dyDescent="0.45">
      <c r="A21" s="9" t="s">
        <v>24</v>
      </c>
      <c r="B21" s="9">
        <v>6401557</v>
      </c>
      <c r="C21" s="12">
        <v>15000</v>
      </c>
      <c r="D21" s="12">
        <v>37500</v>
      </c>
      <c r="E21" s="29">
        <f>C21-D21</f>
        <v>-22500</v>
      </c>
      <c r="F21" s="40">
        <f>IF(D21=0,0,(C21-D21)/D21)</f>
        <v>-0.6</v>
      </c>
      <c r="G21" s="12">
        <v>45000</v>
      </c>
    </row>
    <row r="22" spans="1:7" x14ac:dyDescent="0.45">
      <c r="A22" s="9" t="s">
        <v>25</v>
      </c>
      <c r="B22" s="9">
        <v>6401565</v>
      </c>
      <c r="C22" s="12">
        <v>170000</v>
      </c>
      <c r="D22" s="12">
        <v>212500</v>
      </c>
      <c r="E22" s="29">
        <f>C22-D22</f>
        <v>-42500</v>
      </c>
      <c r="F22" s="40">
        <f>IF(D22=0,0,(C22-D22)/D22)</f>
        <v>-0.2</v>
      </c>
      <c r="G22" s="12">
        <v>255000</v>
      </c>
    </row>
    <row r="23" spans="1:7" x14ac:dyDescent="0.45">
      <c r="A23" s="13" t="s">
        <v>26</v>
      </c>
      <c r="B23" s="13" t="s">
        <v>27</v>
      </c>
      <c r="C23" s="14">
        <f>SUM(C15:C22)</f>
        <v>578959</v>
      </c>
      <c r="D23" s="14">
        <f>SUM(D15:D22)</f>
        <v>742491</v>
      </c>
      <c r="E23" s="30">
        <f>C23-D23</f>
        <v>-163532</v>
      </c>
      <c r="F23" s="41">
        <f>IF(D23=0,0,(C23-D23)/D23)</f>
        <v>-0.22024778751526955</v>
      </c>
      <c r="G23" s="14">
        <f>SUM(G15:G22)</f>
        <v>890989</v>
      </c>
    </row>
    <row r="24" spans="1:7" x14ac:dyDescent="0.45">
      <c r="A24" s="9"/>
      <c r="B24" s="9"/>
      <c r="C24" s="9"/>
      <c r="D24" s="9"/>
      <c r="E24" s="27"/>
      <c r="F24" s="38"/>
      <c r="G24" s="9"/>
    </row>
    <row r="25" spans="1:7" x14ac:dyDescent="0.45">
      <c r="A25" s="9" t="s">
        <v>28</v>
      </c>
      <c r="B25" s="9">
        <v>6401751</v>
      </c>
      <c r="C25" s="12">
        <v>49050</v>
      </c>
      <c r="D25" s="12">
        <v>61314</v>
      </c>
      <c r="E25" s="29">
        <f>C25-D25</f>
        <v>-12264</v>
      </c>
      <c r="F25" s="40">
        <f>IF(D25=0,0,(C25-D25)/D25)</f>
        <v>-0.20001957138663273</v>
      </c>
      <c r="G25" s="12">
        <v>73577</v>
      </c>
    </row>
    <row r="26" spans="1:7" x14ac:dyDescent="0.45">
      <c r="A26" s="9" t="s">
        <v>29</v>
      </c>
      <c r="B26" s="9">
        <v>6401260</v>
      </c>
      <c r="C26" s="12">
        <v>0</v>
      </c>
      <c r="D26" s="12">
        <v>2545</v>
      </c>
      <c r="E26" s="29">
        <f>C26-D26</f>
        <v>-2545</v>
      </c>
      <c r="F26" s="40">
        <f>IF(D26=0,0,(C26-D26)/D26)</f>
        <v>-1</v>
      </c>
      <c r="G26" s="12">
        <v>3054</v>
      </c>
    </row>
    <row r="27" spans="1:7" x14ac:dyDescent="0.45">
      <c r="A27" s="9" t="s">
        <v>30</v>
      </c>
      <c r="B27" s="9" t="s">
        <v>31</v>
      </c>
      <c r="C27" s="12">
        <v>5000</v>
      </c>
      <c r="D27" s="12">
        <v>7283</v>
      </c>
      <c r="E27" s="29">
        <f>C27-D27</f>
        <v>-2283</v>
      </c>
      <c r="F27" s="40">
        <f>IF(D27=0,0,(C27-D27)/D27)</f>
        <v>-0.31346972401482903</v>
      </c>
      <c r="G27" s="12">
        <v>8740</v>
      </c>
    </row>
    <row r="28" spans="1:7" x14ac:dyDescent="0.45">
      <c r="A28" s="13" t="s">
        <v>32</v>
      </c>
      <c r="B28" s="13" t="s">
        <v>31</v>
      </c>
      <c r="C28" s="14">
        <f>SUM(C25:C27)</f>
        <v>54050</v>
      </c>
      <c r="D28" s="14">
        <f>SUM(D25:D27)</f>
        <v>71142</v>
      </c>
      <c r="E28" s="30">
        <f>C28-D28</f>
        <v>-17092</v>
      </c>
      <c r="F28" s="41">
        <f>IF(D28=0,0,(C28-D28)/D28)</f>
        <v>-0.24025189058502713</v>
      </c>
      <c r="G28" s="14">
        <f>SUM(G25:G27)</f>
        <v>85371</v>
      </c>
    </row>
    <row r="29" spans="1:7" x14ac:dyDescent="0.45">
      <c r="A29" s="9"/>
      <c r="B29" s="9"/>
      <c r="C29" s="9"/>
      <c r="D29" s="9"/>
      <c r="E29" s="27"/>
      <c r="F29" s="38"/>
      <c r="G29" s="9"/>
    </row>
    <row r="30" spans="1:7" x14ac:dyDescent="0.45">
      <c r="A30" s="15" t="s">
        <v>33</v>
      </c>
      <c r="B30" s="15"/>
      <c r="C30" s="16">
        <f>C13+C23+C28</f>
        <v>737994</v>
      </c>
      <c r="D30" s="16">
        <f>D13+D23+D28</f>
        <v>944944</v>
      </c>
      <c r="E30" s="31">
        <f>C30-D30</f>
        <v>-206950</v>
      </c>
      <c r="F30" s="42">
        <f>IF(D30=0,0,(C30-D30)/D30)</f>
        <v>-0.21900768722802622</v>
      </c>
      <c r="G30" s="16">
        <f>G13+G23+G28</f>
        <v>1134085</v>
      </c>
    </row>
    <row r="31" spans="1:7" x14ac:dyDescent="0.45">
      <c r="A31" s="9"/>
      <c r="B31" s="9"/>
      <c r="C31" s="9"/>
      <c r="D31" s="9"/>
      <c r="E31" s="27"/>
      <c r="F31" s="38"/>
      <c r="G31" s="9"/>
    </row>
    <row r="32" spans="1:7" x14ac:dyDescent="0.45">
      <c r="A32" s="10" t="s">
        <v>34</v>
      </c>
      <c r="B32" s="11"/>
      <c r="C32" s="11"/>
      <c r="D32" s="11"/>
      <c r="E32" s="28"/>
      <c r="F32" s="39"/>
      <c r="G32" s="11"/>
    </row>
    <row r="33" spans="1:7" x14ac:dyDescent="0.45">
      <c r="A33" s="9" t="s">
        <v>35</v>
      </c>
      <c r="B33" s="9">
        <v>6800750</v>
      </c>
      <c r="C33" s="12">
        <v>22100</v>
      </c>
      <c r="D33" s="12">
        <v>27625</v>
      </c>
      <c r="E33" s="29">
        <f>C33-D33</f>
        <v>-5525</v>
      </c>
      <c r="F33" s="40">
        <f>IF(D33=0,0,(C33-D33)/D33)</f>
        <v>-0.2</v>
      </c>
      <c r="G33" s="12">
        <v>33150</v>
      </c>
    </row>
    <row r="34" spans="1:7" x14ac:dyDescent="0.45">
      <c r="A34" s="9" t="s">
        <v>36</v>
      </c>
      <c r="B34" s="9">
        <v>680201010</v>
      </c>
      <c r="C34" s="12">
        <v>980</v>
      </c>
      <c r="D34" s="12">
        <v>1224</v>
      </c>
      <c r="E34" s="29">
        <f>C34-D34</f>
        <v>-244</v>
      </c>
      <c r="F34" s="40">
        <f>IF(D34=0,0,(C34-D34)/D34)</f>
        <v>-0.19934640522875818</v>
      </c>
      <c r="G34" s="12">
        <v>1469</v>
      </c>
    </row>
    <row r="35" spans="1:7" x14ac:dyDescent="0.45">
      <c r="A35" s="9" t="s">
        <v>37</v>
      </c>
      <c r="B35" s="9">
        <v>680202530</v>
      </c>
      <c r="C35" s="12">
        <v>3070</v>
      </c>
      <c r="D35" s="12">
        <v>3838</v>
      </c>
      <c r="E35" s="29">
        <f>C35-D35</f>
        <v>-768</v>
      </c>
      <c r="F35" s="40">
        <f>IF(D35=0,0,(C35-D35)/D35)</f>
        <v>-0.20010422094841063</v>
      </c>
      <c r="G35" s="12">
        <v>4605</v>
      </c>
    </row>
    <row r="36" spans="1:7" x14ac:dyDescent="0.45">
      <c r="A36" s="9" t="s">
        <v>38</v>
      </c>
      <c r="B36" s="9">
        <v>6802510</v>
      </c>
      <c r="C36" s="12">
        <v>51440</v>
      </c>
      <c r="D36" s="12">
        <v>64300</v>
      </c>
      <c r="E36" s="29">
        <f>C36-D36</f>
        <v>-12860</v>
      </c>
      <c r="F36" s="40">
        <f>IF(D36=0,0,(C36-D36)/D36)</f>
        <v>-0.2</v>
      </c>
      <c r="G36" s="12">
        <v>77160</v>
      </c>
    </row>
    <row r="37" spans="1:7" x14ac:dyDescent="0.45">
      <c r="A37" s="13" t="s">
        <v>39</v>
      </c>
      <c r="B37" s="13" t="s">
        <v>40</v>
      </c>
      <c r="C37" s="14">
        <f>SUM(C33:C36)</f>
        <v>77590</v>
      </c>
      <c r="D37" s="14">
        <f>SUM(D33:D36)</f>
        <v>96987</v>
      </c>
      <c r="E37" s="30">
        <f>C37-D37</f>
        <v>-19397</v>
      </c>
      <c r="F37" s="41">
        <f>IF(D37=0,0,(C37-D37)/D37)</f>
        <v>-0.19999587573592337</v>
      </c>
      <c r="G37" s="14">
        <f>SUM(G33:G36)</f>
        <v>116384</v>
      </c>
    </row>
    <row r="38" spans="1:7" x14ac:dyDescent="0.45">
      <c r="A38" s="9"/>
      <c r="B38" s="9"/>
      <c r="C38" s="9"/>
      <c r="D38" s="9"/>
      <c r="E38" s="27"/>
      <c r="F38" s="38"/>
      <c r="G38" s="9"/>
    </row>
    <row r="39" spans="1:7" x14ac:dyDescent="0.45">
      <c r="A39" s="9" t="s">
        <v>41</v>
      </c>
      <c r="B39" s="9">
        <v>6901251</v>
      </c>
      <c r="C39" s="12">
        <v>300678</v>
      </c>
      <c r="D39" s="12">
        <v>375848</v>
      </c>
      <c r="E39" s="29">
        <f>C39-D39</f>
        <v>-75170</v>
      </c>
      <c r="F39" s="40">
        <f>IF(D39=0,0,(C39-D39)/D39)</f>
        <v>-0.20000106426002001</v>
      </c>
      <c r="G39" s="12">
        <v>451018</v>
      </c>
    </row>
    <row r="40" spans="1:7" x14ac:dyDescent="0.45">
      <c r="A40" s="9" t="s">
        <v>42</v>
      </c>
      <c r="B40" s="9">
        <v>6901252</v>
      </c>
      <c r="C40" s="12">
        <v>46436</v>
      </c>
      <c r="D40" s="12">
        <v>58045</v>
      </c>
      <c r="E40" s="29">
        <f>C40-D40</f>
        <v>-11609</v>
      </c>
      <c r="F40" s="40">
        <f>IF(D40=0,0,(C40-D40)/D40)</f>
        <v>-0.2</v>
      </c>
      <c r="G40" s="12">
        <v>69654</v>
      </c>
    </row>
    <row r="41" spans="1:7" x14ac:dyDescent="0.45">
      <c r="A41" s="9" t="s">
        <v>43</v>
      </c>
      <c r="B41" s="9">
        <v>6901253</v>
      </c>
      <c r="C41" s="12">
        <v>91302</v>
      </c>
      <c r="D41" s="12">
        <v>114128</v>
      </c>
      <c r="E41" s="29">
        <f>C41-D41</f>
        <v>-22826</v>
      </c>
      <c r="F41" s="40">
        <f>IF(D41=0,0,(C41-D41)/D41)</f>
        <v>-0.20000350483667462</v>
      </c>
      <c r="G41" s="12">
        <v>136954</v>
      </c>
    </row>
    <row r="42" spans="1:7" x14ac:dyDescent="0.45">
      <c r="A42" s="9" t="s">
        <v>44</v>
      </c>
      <c r="B42" s="9">
        <v>6901257</v>
      </c>
      <c r="C42" s="12">
        <v>328006</v>
      </c>
      <c r="D42" s="12">
        <v>410008</v>
      </c>
      <c r="E42" s="29">
        <f>C42-D42</f>
        <v>-82002</v>
      </c>
      <c r="F42" s="40">
        <f>IF(D42=0,0,(C42-D42)/D42)</f>
        <v>-0.20000097559072019</v>
      </c>
      <c r="G42" s="12">
        <v>492010</v>
      </c>
    </row>
    <row r="43" spans="1:7" x14ac:dyDescent="0.45">
      <c r="A43" s="9" t="s">
        <v>45</v>
      </c>
      <c r="B43" s="9">
        <v>6903312</v>
      </c>
      <c r="C43" s="12">
        <v>26858</v>
      </c>
      <c r="D43" s="12">
        <v>33573</v>
      </c>
      <c r="E43" s="29">
        <f>C43-D43</f>
        <v>-6715</v>
      </c>
      <c r="F43" s="40">
        <f>IF(D43=0,0,(C43-D43)/D43)</f>
        <v>-0.20001191433592469</v>
      </c>
      <c r="G43" s="12">
        <v>40288</v>
      </c>
    </row>
    <row r="44" spans="1:7" x14ac:dyDescent="0.45">
      <c r="A44" s="9" t="s">
        <v>46</v>
      </c>
      <c r="B44" s="9">
        <v>6903316</v>
      </c>
      <c r="C44" s="12">
        <v>26337</v>
      </c>
      <c r="D44" s="12">
        <v>32921</v>
      </c>
      <c r="E44" s="29">
        <f>C44-D44</f>
        <v>-6584</v>
      </c>
      <c r="F44" s="40">
        <f>IF(D44=0,0,(C44-D44)/D44)</f>
        <v>-0.19999392485039943</v>
      </c>
      <c r="G44" s="12">
        <v>39505</v>
      </c>
    </row>
    <row r="45" spans="1:7" x14ac:dyDescent="0.45">
      <c r="A45" s="13" t="s">
        <v>47</v>
      </c>
      <c r="B45" s="13" t="s">
        <v>48</v>
      </c>
      <c r="C45" s="14">
        <f>SUM(C39:C44)</f>
        <v>819617</v>
      </c>
      <c r="D45" s="14">
        <f>SUM(D39:D44)</f>
        <v>1024523</v>
      </c>
      <c r="E45" s="30">
        <f>C45-D45</f>
        <v>-204906</v>
      </c>
      <c r="F45" s="41">
        <f>IF(D45=0,0,(C45-D45)/D45)</f>
        <v>-0.20000136648957612</v>
      </c>
      <c r="G45" s="14">
        <f>SUM(G39:G44)</f>
        <v>1229429</v>
      </c>
    </row>
    <row r="46" spans="1:7" x14ac:dyDescent="0.45">
      <c r="A46" s="9"/>
      <c r="B46" s="9"/>
      <c r="C46" s="9"/>
      <c r="D46" s="9"/>
      <c r="E46" s="27"/>
      <c r="F46" s="38"/>
      <c r="G46" s="9"/>
    </row>
    <row r="47" spans="1:7" x14ac:dyDescent="0.45">
      <c r="A47" s="17" t="s">
        <v>49</v>
      </c>
      <c r="B47" s="17"/>
      <c r="C47" s="18">
        <f>C37+C45</f>
        <v>897207</v>
      </c>
      <c r="D47" s="18">
        <f>D37+D45</f>
        <v>1121510</v>
      </c>
      <c r="E47" s="32">
        <f>C47-D47</f>
        <v>-224303</v>
      </c>
      <c r="F47" s="43">
        <f>IF(D47=0,0,(C47-D47)/D47)</f>
        <v>-0.20000089165500085</v>
      </c>
      <c r="G47" s="18">
        <f>G37+G45</f>
        <v>1345813</v>
      </c>
    </row>
    <row r="48" spans="1:7" x14ac:dyDescent="0.45">
      <c r="A48" s="9"/>
      <c r="B48" s="9"/>
      <c r="C48" s="9"/>
      <c r="D48" s="9"/>
      <c r="E48" s="27"/>
      <c r="F48" s="38"/>
      <c r="G48" s="9"/>
    </row>
    <row r="49" spans="1:7" ht="15.75" x14ac:dyDescent="0.5">
      <c r="A49" s="19" t="s">
        <v>50</v>
      </c>
      <c r="B49" s="20"/>
      <c r="C49" s="21">
        <f>C30-C47</f>
        <v>-159213</v>
      </c>
      <c r="D49" s="21">
        <f>D30-D47</f>
        <v>-176566</v>
      </c>
      <c r="E49" s="33">
        <f>C49-D49</f>
        <v>17353</v>
      </c>
      <c r="F49" s="44">
        <f>IF(D49=0,0,(C49-D49)/D49)</f>
        <v>-9.8280529660297003E-2</v>
      </c>
      <c r="G49" s="21">
        <f>G30-G47</f>
        <v>-211728</v>
      </c>
    </row>
    <row r="50" spans="1:7" x14ac:dyDescent="0.45">
      <c r="A50" s="22" t="s">
        <v>51</v>
      </c>
      <c r="B50" s="9"/>
      <c r="C50" s="23">
        <f>IF(C30=0,0,C49/C30)</f>
        <v>-0.21573752632135221</v>
      </c>
      <c r="D50" s="23">
        <f>IF(D30=0,0,D49/D30)</f>
        <v>-0.18685340083645169</v>
      </c>
      <c r="E50" s="27"/>
      <c r="F50" s="38"/>
      <c r="G50" s="23">
        <f>IF(G30=0,0,G49/G30)</f>
        <v>-0.1866950008156355</v>
      </c>
    </row>
    <row r="51" spans="1:7" x14ac:dyDescent="0.45">
      <c r="A51" s="9"/>
      <c r="B51" s="9"/>
      <c r="C51" s="9"/>
      <c r="D51" s="9"/>
      <c r="E51" s="27"/>
      <c r="F51" s="38"/>
      <c r="G51" s="9"/>
    </row>
    <row r="52" spans="1:7" x14ac:dyDescent="0.45">
      <c r="A52" s="10" t="s">
        <v>52</v>
      </c>
      <c r="B52" s="11"/>
      <c r="C52" s="11"/>
      <c r="D52" s="11"/>
      <c r="E52" s="28"/>
      <c r="F52" s="39"/>
      <c r="G52" s="11"/>
    </row>
    <row r="53" spans="1:7" x14ac:dyDescent="0.45">
      <c r="A53" s="9" t="s">
        <v>53</v>
      </c>
      <c r="B53" s="9">
        <v>6901201</v>
      </c>
      <c r="C53" s="12">
        <v>9264</v>
      </c>
      <c r="D53" s="12">
        <v>11580</v>
      </c>
      <c r="E53" s="29">
        <f>C53-D53</f>
        <v>-2316</v>
      </c>
      <c r="F53" s="40">
        <f>IF(D53=0,0,(C53-D53)/D53)</f>
        <v>-0.2</v>
      </c>
      <c r="G53" s="12">
        <v>13896</v>
      </c>
    </row>
    <row r="54" spans="1:7" x14ac:dyDescent="0.45">
      <c r="A54" s="9" t="s">
        <v>54</v>
      </c>
      <c r="B54" s="9">
        <v>6901230</v>
      </c>
      <c r="C54" s="12">
        <v>54902</v>
      </c>
      <c r="D54" s="12">
        <v>68628</v>
      </c>
      <c r="E54" s="29">
        <f>C54-D54</f>
        <v>-13726</v>
      </c>
      <c r="F54" s="40">
        <f>IF(D54=0,0,(C54-D54)/D54)</f>
        <v>-0.20000582852480037</v>
      </c>
      <c r="G54" s="12">
        <v>82354</v>
      </c>
    </row>
    <row r="55" spans="1:7" x14ac:dyDescent="0.45">
      <c r="A55" s="9" t="s">
        <v>55</v>
      </c>
      <c r="B55" s="9">
        <v>690181520</v>
      </c>
      <c r="C55" s="12">
        <v>25740</v>
      </c>
      <c r="D55" s="12">
        <v>32175</v>
      </c>
      <c r="E55" s="29">
        <f>C55-D55</f>
        <v>-6435</v>
      </c>
      <c r="F55" s="40">
        <f>IF(D55=0,0,(C55-D55)/D55)</f>
        <v>-0.2</v>
      </c>
      <c r="G55" s="12">
        <v>38609</v>
      </c>
    </row>
    <row r="56" spans="1:7" x14ac:dyDescent="0.45">
      <c r="A56" s="9" t="s">
        <v>56</v>
      </c>
      <c r="B56" s="9">
        <v>690182025</v>
      </c>
      <c r="C56" s="12">
        <v>11422</v>
      </c>
      <c r="D56" s="12">
        <v>14278</v>
      </c>
      <c r="E56" s="29">
        <f>C56-D56</f>
        <v>-2856</v>
      </c>
      <c r="F56" s="40">
        <f>IF(D56=0,0,(C56-D56)/D56)</f>
        <v>-0.2000280151281692</v>
      </c>
      <c r="G56" s="12">
        <v>17134</v>
      </c>
    </row>
    <row r="57" spans="1:7" x14ac:dyDescent="0.45">
      <c r="A57" s="9" t="s">
        <v>57</v>
      </c>
      <c r="B57" s="9">
        <v>690182037</v>
      </c>
      <c r="C57" s="12">
        <v>50856</v>
      </c>
      <c r="D57" s="12">
        <v>63571</v>
      </c>
      <c r="E57" s="29">
        <f>C57-D57</f>
        <v>-12715</v>
      </c>
      <c r="F57" s="40">
        <f>IF(D57=0,0,(C57-D57)/D57)</f>
        <v>-0.20001258435450125</v>
      </c>
      <c r="G57" s="12">
        <v>76285</v>
      </c>
    </row>
    <row r="58" spans="1:7" x14ac:dyDescent="0.45">
      <c r="A58" s="13" t="s">
        <v>58</v>
      </c>
      <c r="B58" s="13" t="s">
        <v>59</v>
      </c>
      <c r="C58" s="14">
        <f>SUM(C53:C57)</f>
        <v>152184</v>
      </c>
      <c r="D58" s="14">
        <f>SUM(D53:D57)</f>
        <v>190232</v>
      </c>
      <c r="E58" s="30">
        <f>C58-D58</f>
        <v>-38048</v>
      </c>
      <c r="F58" s="41">
        <f>IF(D58=0,0,(C58-D58)/D58)</f>
        <v>-0.20000841078262332</v>
      </c>
      <c r="G58" s="14">
        <f>SUM(G53:G57)</f>
        <v>228278</v>
      </c>
    </row>
    <row r="59" spans="1:7" x14ac:dyDescent="0.45">
      <c r="A59" s="9"/>
      <c r="B59" s="9"/>
      <c r="C59" s="9"/>
      <c r="D59" s="9"/>
      <c r="E59" s="27"/>
      <c r="F59" s="38"/>
      <c r="G59" s="9"/>
    </row>
    <row r="60" spans="1:7" x14ac:dyDescent="0.45">
      <c r="A60" s="9" t="s">
        <v>60</v>
      </c>
      <c r="B60" s="9">
        <v>7001010</v>
      </c>
      <c r="C60" s="12">
        <v>60000</v>
      </c>
      <c r="D60" s="12">
        <v>75000</v>
      </c>
      <c r="E60" s="29">
        <f>C60-D60</f>
        <v>-15000</v>
      </c>
      <c r="F60" s="40">
        <f>IF(D60=0,0,(C60-D60)/D60)</f>
        <v>-0.2</v>
      </c>
      <c r="G60" s="12">
        <v>90000</v>
      </c>
    </row>
    <row r="61" spans="1:7" x14ac:dyDescent="0.45">
      <c r="A61" s="9" t="s">
        <v>61</v>
      </c>
      <c r="B61" s="9">
        <v>7001052</v>
      </c>
      <c r="C61" s="12">
        <v>80268</v>
      </c>
      <c r="D61" s="12">
        <v>100335</v>
      </c>
      <c r="E61" s="29">
        <f>C61-D61</f>
        <v>-20067</v>
      </c>
      <c r="F61" s="40">
        <f>IF(D61=0,0,(C61-D61)/D61)</f>
        <v>-0.2</v>
      </c>
      <c r="G61" s="12">
        <v>120402</v>
      </c>
    </row>
    <row r="62" spans="1:7" x14ac:dyDescent="0.45">
      <c r="A62" s="9" t="s">
        <v>62</v>
      </c>
      <c r="B62" s="9">
        <v>7001053</v>
      </c>
      <c r="C62" s="12">
        <v>16200</v>
      </c>
      <c r="D62" s="12">
        <v>20250</v>
      </c>
      <c r="E62" s="29">
        <f>C62-D62</f>
        <v>-4050</v>
      </c>
      <c r="F62" s="40">
        <f>IF(D62=0,0,(C62-D62)/D62)</f>
        <v>-0.2</v>
      </c>
      <c r="G62" s="12">
        <v>24300</v>
      </c>
    </row>
    <row r="63" spans="1:7" x14ac:dyDescent="0.45">
      <c r="A63" s="9" t="s">
        <v>63</v>
      </c>
      <c r="B63" s="9">
        <v>7001055</v>
      </c>
      <c r="C63" s="12">
        <v>180000</v>
      </c>
      <c r="D63" s="12">
        <v>225000</v>
      </c>
      <c r="E63" s="29">
        <f>C63-D63</f>
        <v>-45000</v>
      </c>
      <c r="F63" s="40">
        <f>IF(D63=0,0,(C63-D63)/D63)</f>
        <v>-0.2</v>
      </c>
      <c r="G63" s="12">
        <v>270000</v>
      </c>
    </row>
    <row r="64" spans="1:7" x14ac:dyDescent="0.45">
      <c r="A64" s="9" t="s">
        <v>64</v>
      </c>
      <c r="B64" s="9">
        <v>7004030</v>
      </c>
      <c r="C64" s="12">
        <v>9646</v>
      </c>
      <c r="D64" s="12">
        <v>12058</v>
      </c>
      <c r="E64" s="29">
        <f>C64-D64</f>
        <v>-2412</v>
      </c>
      <c r="F64" s="40">
        <f>IF(D64=0,0,(C64-D64)/D64)</f>
        <v>-0.20003317299718029</v>
      </c>
      <c r="G64" s="12">
        <v>14469</v>
      </c>
    </row>
    <row r="65" spans="1:7" x14ac:dyDescent="0.45">
      <c r="A65" s="13" t="s">
        <v>65</v>
      </c>
      <c r="B65" s="13" t="s">
        <v>66</v>
      </c>
      <c r="C65" s="14">
        <f>SUM(C60:C64)</f>
        <v>346114</v>
      </c>
      <c r="D65" s="14">
        <f>SUM(D60:D64)</f>
        <v>432643</v>
      </c>
      <c r="E65" s="30">
        <f>C65-D65</f>
        <v>-86529</v>
      </c>
      <c r="F65" s="41">
        <f>IF(D65=0,0,(C65-D65)/D65)</f>
        <v>-0.20000092454980203</v>
      </c>
      <c r="G65" s="14">
        <f>SUM(G60:G64)</f>
        <v>519171</v>
      </c>
    </row>
    <row r="66" spans="1:7" x14ac:dyDescent="0.45">
      <c r="A66" s="9"/>
      <c r="B66" s="9"/>
      <c r="C66" s="9"/>
      <c r="D66" s="9"/>
      <c r="E66" s="27"/>
      <c r="F66" s="38"/>
      <c r="G66" s="9"/>
    </row>
    <row r="67" spans="1:7" x14ac:dyDescent="0.45">
      <c r="A67" s="9" t="s">
        <v>67</v>
      </c>
      <c r="B67" s="9">
        <v>690241003</v>
      </c>
      <c r="C67" s="12">
        <v>23876</v>
      </c>
      <c r="D67" s="12">
        <v>29845</v>
      </c>
      <c r="E67" s="29">
        <f>C67-D67</f>
        <v>-5969</v>
      </c>
      <c r="F67" s="40">
        <f>IF(D67=0,0,(C67-D67)/D67)</f>
        <v>-0.2</v>
      </c>
      <c r="G67" s="12">
        <v>35813</v>
      </c>
    </row>
    <row r="68" spans="1:7" x14ac:dyDescent="0.45">
      <c r="A68" s="9" t="s">
        <v>68</v>
      </c>
      <c r="B68" s="9">
        <v>690241006</v>
      </c>
      <c r="C68" s="12">
        <v>5238</v>
      </c>
      <c r="D68" s="12">
        <v>6548</v>
      </c>
      <c r="E68" s="29">
        <f>C68-D68</f>
        <v>-1310</v>
      </c>
      <c r="F68" s="40">
        <f>IF(D68=0,0,(C68-D68)/D68)</f>
        <v>-0.20006108735491754</v>
      </c>
      <c r="G68" s="12">
        <v>7858</v>
      </c>
    </row>
    <row r="69" spans="1:7" x14ac:dyDescent="0.45">
      <c r="A69" s="9" t="s">
        <v>69</v>
      </c>
      <c r="B69" s="9">
        <v>690241524</v>
      </c>
      <c r="C69" s="12">
        <v>12928</v>
      </c>
      <c r="D69" s="12">
        <v>16160</v>
      </c>
      <c r="E69" s="29">
        <f>C69-D69</f>
        <v>-3232</v>
      </c>
      <c r="F69" s="40">
        <f>IF(D69=0,0,(C69-D69)/D69)</f>
        <v>-0.2</v>
      </c>
      <c r="G69" s="12">
        <v>19392</v>
      </c>
    </row>
    <row r="70" spans="1:7" x14ac:dyDescent="0.45">
      <c r="A70" s="9" t="s">
        <v>70</v>
      </c>
      <c r="B70" s="9">
        <v>690242010</v>
      </c>
      <c r="C70" s="12">
        <v>17918</v>
      </c>
      <c r="D70" s="12">
        <v>22398</v>
      </c>
      <c r="E70" s="29">
        <f>C70-D70</f>
        <v>-4480</v>
      </c>
      <c r="F70" s="40">
        <f>IF(D70=0,0,(C70-D70)/D70)</f>
        <v>-0.20001785873738726</v>
      </c>
      <c r="G70" s="12">
        <v>26877</v>
      </c>
    </row>
    <row r="71" spans="1:7" x14ac:dyDescent="0.45">
      <c r="A71" s="13" t="s">
        <v>71</v>
      </c>
      <c r="B71" s="13" t="s">
        <v>72</v>
      </c>
      <c r="C71" s="14">
        <f>SUM(C67:C70)</f>
        <v>59960</v>
      </c>
      <c r="D71" s="14">
        <f>SUM(D67:D70)</f>
        <v>74951</v>
      </c>
      <c r="E71" s="30">
        <f>C71-D71</f>
        <v>-14991</v>
      </c>
      <c r="F71" s="41">
        <f>IF(D71=0,0,(C71-D71)/D71)</f>
        <v>-0.20001067364011155</v>
      </c>
      <c r="G71" s="14">
        <f>SUM(G67:G70)</f>
        <v>89940</v>
      </c>
    </row>
    <row r="72" spans="1:7" x14ac:dyDescent="0.45">
      <c r="A72" s="9"/>
      <c r="B72" s="9"/>
      <c r="C72" s="9"/>
      <c r="D72" s="9"/>
      <c r="E72" s="27"/>
      <c r="F72" s="38"/>
      <c r="G72" s="9"/>
    </row>
    <row r="73" spans="1:7" x14ac:dyDescent="0.45">
      <c r="A73" s="9" t="s">
        <v>73</v>
      </c>
      <c r="B73" s="9">
        <v>7101010</v>
      </c>
      <c r="C73" s="12">
        <v>437438</v>
      </c>
      <c r="D73" s="12">
        <v>546797</v>
      </c>
      <c r="E73" s="29">
        <f>C73-D73</f>
        <v>-109359</v>
      </c>
      <c r="F73" s="40">
        <f>IF(D73=0,0,(C73-D73)/D73)</f>
        <v>-0.19999926846709107</v>
      </c>
      <c r="G73" s="12">
        <v>656156</v>
      </c>
    </row>
    <row r="74" spans="1:7" x14ac:dyDescent="0.45">
      <c r="A74" s="9" t="s">
        <v>74</v>
      </c>
      <c r="B74" s="9">
        <v>7101510</v>
      </c>
      <c r="C74" s="12">
        <v>114996</v>
      </c>
      <c r="D74" s="12">
        <v>143745</v>
      </c>
      <c r="E74" s="29">
        <f>C74-D74</f>
        <v>-28749</v>
      </c>
      <c r="F74" s="40">
        <f>IF(D74=0,0,(C74-D74)/D74)</f>
        <v>-0.2</v>
      </c>
      <c r="G74" s="12">
        <v>172494</v>
      </c>
    </row>
    <row r="75" spans="1:7" x14ac:dyDescent="0.45">
      <c r="A75" s="9" t="s">
        <v>75</v>
      </c>
      <c r="B75" s="9">
        <v>7102010</v>
      </c>
      <c r="C75" s="12">
        <v>30100</v>
      </c>
      <c r="D75" s="12">
        <v>37625</v>
      </c>
      <c r="E75" s="29">
        <f>C75-D75</f>
        <v>-7525</v>
      </c>
      <c r="F75" s="40">
        <f>IF(D75=0,0,(C75-D75)/D75)</f>
        <v>-0.2</v>
      </c>
      <c r="G75" s="12">
        <v>45149</v>
      </c>
    </row>
    <row r="76" spans="1:7" x14ac:dyDescent="0.45">
      <c r="A76" s="9" t="s">
        <v>76</v>
      </c>
      <c r="B76" s="9">
        <v>6902725</v>
      </c>
      <c r="C76" s="12">
        <v>12388</v>
      </c>
      <c r="D76" s="12">
        <v>15485</v>
      </c>
      <c r="E76" s="29">
        <f>C76-D76</f>
        <v>-3097</v>
      </c>
      <c r="F76" s="40">
        <f>IF(D76=0,0,(C76-D76)/D76)</f>
        <v>-0.2</v>
      </c>
      <c r="G76" s="12">
        <v>18582</v>
      </c>
    </row>
    <row r="77" spans="1:7" x14ac:dyDescent="0.45">
      <c r="A77" s="13" t="s">
        <v>77</v>
      </c>
      <c r="B77" s="13" t="s">
        <v>78</v>
      </c>
      <c r="C77" s="14">
        <f>SUM(C73:C76)</f>
        <v>594922</v>
      </c>
      <c r="D77" s="14">
        <f>SUM(D73:D76)</f>
        <v>743652</v>
      </c>
      <c r="E77" s="30">
        <f>C77-D77</f>
        <v>-148730</v>
      </c>
      <c r="F77" s="41">
        <f>IF(D77=0,0,(C77-D77)/D77)</f>
        <v>-0.19999946211399955</v>
      </c>
      <c r="G77" s="14">
        <f>SUM(G73:G76)</f>
        <v>892381</v>
      </c>
    </row>
    <row r="78" spans="1:7" x14ac:dyDescent="0.45">
      <c r="A78" s="9"/>
      <c r="B78" s="9"/>
      <c r="C78" s="9"/>
      <c r="D78" s="9"/>
      <c r="E78" s="27"/>
      <c r="F78" s="38"/>
      <c r="G78" s="9"/>
    </row>
    <row r="79" spans="1:7" x14ac:dyDescent="0.45">
      <c r="A79" s="17" t="s">
        <v>79</v>
      </c>
      <c r="B79" s="17"/>
      <c r="C79" s="18">
        <f>C58+C65+C71+C77</f>
        <v>1153180</v>
      </c>
      <c r="D79" s="18">
        <f>D58+D65+D71+D77</f>
        <v>1441478</v>
      </c>
      <c r="E79" s="32">
        <f>C79-D79</f>
        <v>-288298</v>
      </c>
      <c r="F79" s="43">
        <f>IF(D79=0,0,(C79-D79)/D79)</f>
        <v>-0.2000016649577725</v>
      </c>
      <c r="G79" s="18">
        <f>G58+G65+G71+G77</f>
        <v>1729770</v>
      </c>
    </row>
    <row r="80" spans="1:7" x14ac:dyDescent="0.45">
      <c r="A80" s="9"/>
      <c r="B80" s="9"/>
      <c r="C80" s="9"/>
      <c r="D80" s="9"/>
      <c r="E80" s="27"/>
      <c r="F80" s="38"/>
      <c r="G80" s="9"/>
    </row>
    <row r="81" spans="1:7" ht="15.75" x14ac:dyDescent="0.5">
      <c r="A81" s="19" t="s">
        <v>80</v>
      </c>
      <c r="B81" s="20"/>
      <c r="C81" s="21">
        <f>C49-C79</f>
        <v>-1312393</v>
      </c>
      <c r="D81" s="21">
        <f>D49-D79</f>
        <v>-1618044</v>
      </c>
      <c r="E81" s="33">
        <f>C81-D81</f>
        <v>305651</v>
      </c>
      <c r="F81" s="44">
        <f>IF(D81=0,0,(C81-D81)/D81)</f>
        <v>-0.18890153790626213</v>
      </c>
      <c r="G81" s="21">
        <f>G49-G79</f>
        <v>-1941498</v>
      </c>
    </row>
    <row r="82" spans="1:7" x14ac:dyDescent="0.45">
      <c r="A82" s="22" t="s">
        <v>81</v>
      </c>
      <c r="B82" s="9"/>
      <c r="C82" s="23">
        <f>IF(C30=0,0,C81/C30)</f>
        <v>-1.7783247560278268</v>
      </c>
      <c r="D82" s="23">
        <f>IF(D30=0,0,D81/D30)</f>
        <v>-1.7123173436732759</v>
      </c>
      <c r="E82" s="27"/>
      <c r="F82" s="38"/>
      <c r="G82" s="23">
        <f>IF(G30=0,0,G81/G30)</f>
        <v>-1.7119510442338979</v>
      </c>
    </row>
    <row r="83" spans="1:7" x14ac:dyDescent="0.45">
      <c r="A83" s="9"/>
      <c r="B83" s="9"/>
      <c r="C83" s="9"/>
      <c r="D83" s="9"/>
      <c r="E83" s="27"/>
      <c r="F83" s="38"/>
      <c r="G83" s="9"/>
    </row>
    <row r="84" spans="1:7" x14ac:dyDescent="0.45">
      <c r="A84" s="9" t="s">
        <v>82</v>
      </c>
      <c r="B84" s="9" t="s">
        <v>83</v>
      </c>
      <c r="C84" s="12">
        <v>29108</v>
      </c>
      <c r="D84" s="12">
        <v>36385</v>
      </c>
      <c r="E84" s="29">
        <f>C84-D84</f>
        <v>-7277</v>
      </c>
      <c r="F84" s="40">
        <f>IF(D84=0,0,(C84-D84)/D84)</f>
        <v>-0.2</v>
      </c>
      <c r="G84" s="12">
        <v>43663</v>
      </c>
    </row>
    <row r="85" spans="1:7" x14ac:dyDescent="0.45">
      <c r="A85" s="9" t="s">
        <v>84</v>
      </c>
      <c r="B85" s="9" t="s">
        <v>85</v>
      </c>
      <c r="C85" s="12">
        <v>19118</v>
      </c>
      <c r="D85" s="12">
        <v>23898</v>
      </c>
      <c r="E85" s="29">
        <f>C85-D85</f>
        <v>-4780</v>
      </c>
      <c r="F85" s="40">
        <f>IF(D85=0,0,(C85-D85)/D85)</f>
        <v>-0.20001673780232657</v>
      </c>
      <c r="G85" s="12">
        <v>28685</v>
      </c>
    </row>
    <row r="86" spans="1:7" x14ac:dyDescent="0.45">
      <c r="A86" s="9"/>
      <c r="B86" s="9"/>
      <c r="C86" s="9"/>
      <c r="D86" s="9"/>
      <c r="E86" s="27"/>
      <c r="F86" s="38"/>
      <c r="G86" s="9"/>
    </row>
    <row r="87" spans="1:7" ht="15.75" x14ac:dyDescent="0.5">
      <c r="A87" s="24" t="s">
        <v>86</v>
      </c>
      <c r="B87" s="24"/>
      <c r="C87" s="25">
        <f>C81-C84-C85</f>
        <v>-1360619</v>
      </c>
      <c r="D87" s="25">
        <f>D81-D84-D85</f>
        <v>-1678327</v>
      </c>
      <c r="E87" s="34">
        <f>C87-D87</f>
        <v>317708</v>
      </c>
      <c r="F87" s="45">
        <f>IF(D87=0,0,(C87-D87)/D87)</f>
        <v>-0.18930041642659626</v>
      </c>
      <c r="G87" s="25">
        <f>G81-G84-G85</f>
        <v>-2013846</v>
      </c>
    </row>
    <row r="90" spans="1:7" x14ac:dyDescent="0.45">
      <c r="A90" s="5" t="s">
        <v>87</v>
      </c>
      <c r="B90" s="6"/>
      <c r="C90" s="6"/>
      <c r="D90" s="6"/>
      <c r="E90" s="35"/>
      <c r="F90" s="46"/>
      <c r="G90" s="6"/>
    </row>
    <row r="91" spans="1:7" x14ac:dyDescent="0.45">
      <c r="A91" t="s">
        <v>88</v>
      </c>
    </row>
    <row r="92" spans="1:7" x14ac:dyDescent="0.45">
      <c r="A92" t="s">
        <v>89</v>
      </c>
    </row>
    <row r="93" spans="1:7" x14ac:dyDescent="0.45">
      <c r="A93" t="s">
        <v>90</v>
      </c>
    </row>
    <row r="94" spans="1:7" x14ac:dyDescent="0.45">
      <c r="A94" t="s">
        <v>91</v>
      </c>
    </row>
    <row r="96" spans="1:7" x14ac:dyDescent="0.45">
      <c r="A96" s="4" t="s">
        <v>92</v>
      </c>
    </row>
    <row r="97" spans="1:1" x14ac:dyDescent="0.45">
      <c r="A97" s="4" t="s">
        <v>93</v>
      </c>
    </row>
  </sheetData>
  <mergeCells count="3">
    <mergeCell ref="A1:G1"/>
    <mergeCell ref="A2:G2"/>
    <mergeCell ref="A3:G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DB-Rechnung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Gamper</dc:creator>
  <cp:lastModifiedBy>Sophie Gamper</cp:lastModifiedBy>
  <dcterms:created xsi:type="dcterms:W3CDTF">2026-07-04T16:07:16Z</dcterms:created>
  <dcterms:modified xsi:type="dcterms:W3CDTF">2026-07-04T16:07:48Z</dcterms:modified>
</cp:coreProperties>
</file>