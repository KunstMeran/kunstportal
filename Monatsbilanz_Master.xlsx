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trollingsolutions0-my.sharepoint.com/personal/info_controlling-solutions_com/Documents/A_Controlling Solutions/Projekte/Kunsthaus Meran/Kostenanalyse/"/>
    </mc:Choice>
  </mc:AlternateContent>
  <xr:revisionPtr revIDLastSave="34192" documentId="8_{E9C7606C-3B72-442B-9E4C-47D54533013C}" xr6:coauthVersionLast="47" xr6:coauthVersionMax="47" xr10:uidLastSave="{E30D7FC7-4C33-4205-AFF6-358F6404EBB5}"/>
  <bookViews>
    <workbookView xWindow="-98" yWindow="-98" windowWidth="22695" windowHeight="13546" xr2:uid="{59E6BBA9-CF73-4C0F-BB76-F0D4AA5528FA}"/>
  </bookViews>
  <sheets>
    <sheet name="Dashboard" sheetId="1" r:id="rId1"/>
    <sheet name="Stammdaten" sheetId="2" r:id="rId2"/>
    <sheet name="Monatsexporte" sheetId="4" r:id="rId3"/>
    <sheet name="Kalk_Werte" sheetId="3" r:id="rId4"/>
  </sheets>
  <definedNames>
    <definedName name="AktuellerMonat">Dashboard!$B$4</definedName>
    <definedName name="ExterneDaten_1" localSheetId="2" hidden="1">Monatsexporte!$A$1:$E$1030</definedName>
    <definedName name="Jahr">Dashboard!$B$3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4" i="1" l="1"/>
  <c r="C153" i="1"/>
  <c r="C150" i="1"/>
  <c r="C145" i="1"/>
  <c r="C137" i="1"/>
  <c r="AF135" i="1"/>
  <c r="K134" i="1"/>
  <c r="H134" i="1"/>
  <c r="C129" i="1"/>
  <c r="AO128" i="1"/>
  <c r="N123" i="1"/>
  <c r="C114" i="1"/>
  <c r="C130" i="1" s="1"/>
  <c r="AL107" i="1"/>
  <c r="AF105" i="1"/>
  <c r="AC105" i="1"/>
  <c r="Z105" i="1"/>
  <c r="C102" i="1"/>
  <c r="Q100" i="1"/>
  <c r="AI88" i="1"/>
  <c r="AC88" i="1"/>
  <c r="Z88" i="1"/>
  <c r="Q87" i="1"/>
  <c r="C86" i="1"/>
  <c r="AO82" i="1"/>
  <c r="C64" i="1"/>
  <c r="T63" i="1"/>
  <c r="AF62" i="1"/>
  <c r="AC62" i="1"/>
  <c r="W62" i="1"/>
  <c r="T62" i="1"/>
  <c r="Q57" i="1"/>
  <c r="C53" i="1"/>
  <c r="C65" i="1" s="1"/>
  <c r="N46" i="1"/>
  <c r="Q45" i="1"/>
  <c r="K45" i="1"/>
  <c r="AL44" i="1"/>
  <c r="AI44" i="1"/>
  <c r="C40" i="1"/>
  <c r="C33" i="1"/>
  <c r="N30" i="1"/>
  <c r="W26" i="1"/>
  <c r="Q26" i="1"/>
  <c r="N26" i="1"/>
  <c r="AO24" i="1"/>
  <c r="AL24" i="1"/>
  <c r="C23" i="1"/>
  <c r="C41" i="1" s="1"/>
  <c r="C67" i="1" s="1"/>
  <c r="AI16" i="1"/>
  <c r="AC16" i="1"/>
  <c r="AL13" i="1"/>
  <c r="T13" i="1"/>
  <c r="Q13" i="1"/>
  <c r="N13" i="1"/>
  <c r="AI12" i="1"/>
  <c r="B8" i="1"/>
  <c r="B7" i="1"/>
  <c r="B6" i="1"/>
  <c r="B4" i="1"/>
  <c r="T141" i="1" s="1"/>
  <c r="E9" i="3"/>
  <c r="D9" i="3"/>
  <c r="E7" i="3"/>
  <c r="E6" i="3"/>
  <c r="E5" i="3"/>
  <c r="E4" i="3"/>
  <c r="E3" i="3"/>
  <c r="E2" i="3"/>
  <c r="Q30" i="1" l="1"/>
  <c r="H89" i="1"/>
  <c r="Z30" i="1"/>
  <c r="AI73" i="1"/>
  <c r="Z112" i="1"/>
  <c r="K17" i="1"/>
  <c r="N50" i="1"/>
  <c r="AL92" i="1"/>
  <c r="AF112" i="1"/>
  <c r="AL31" i="1"/>
  <c r="AI20" i="1"/>
  <c r="K36" i="1"/>
  <c r="AO55" i="1"/>
  <c r="AO80" i="1"/>
  <c r="AC99" i="1"/>
  <c r="W121" i="1"/>
  <c r="T49" i="1"/>
  <c r="K108" i="1"/>
  <c r="AO16" i="1"/>
  <c r="K50" i="1"/>
  <c r="K92" i="1"/>
  <c r="AF141" i="1"/>
  <c r="AF31" i="1"/>
  <c r="AO73" i="1"/>
  <c r="AI141" i="1"/>
  <c r="N17" i="1"/>
  <c r="Q50" i="1"/>
  <c r="AL75" i="1"/>
  <c r="W93" i="1"/>
  <c r="H144" i="1"/>
  <c r="Z20" i="1"/>
  <c r="AO51" i="1"/>
  <c r="K76" i="1"/>
  <c r="AC93" i="1"/>
  <c r="H115" i="1"/>
  <c r="K144" i="1"/>
  <c r="AC20" i="1"/>
  <c r="W21" i="1"/>
  <c r="Q36" i="1"/>
  <c r="K57" i="1"/>
  <c r="N81" i="1"/>
  <c r="H100" i="1"/>
  <c r="AC121" i="1"/>
  <c r="H36" i="1"/>
  <c r="Q76" i="1"/>
  <c r="AI93" i="1"/>
  <c r="W115" i="1"/>
  <c r="W144" i="1"/>
  <c r="T21" i="1"/>
  <c r="N36" i="1"/>
  <c r="AO56" i="1"/>
  <c r="H81" i="1"/>
  <c r="AL99" i="1"/>
  <c r="Z121" i="1"/>
  <c r="W12" i="1"/>
  <c r="AI36" i="1"/>
  <c r="N57" i="1"/>
  <c r="AI81" i="1"/>
  <c r="K100" i="1"/>
  <c r="H123" i="1"/>
  <c r="T18" i="1"/>
  <c r="H32" i="1"/>
  <c r="AL36" i="1"/>
  <c r="W46" i="1"/>
  <c r="T57" i="1"/>
  <c r="AO63" i="1"/>
  <c r="T76" i="1"/>
  <c r="K83" i="1"/>
  <c r="K95" i="1"/>
  <c r="AC101" i="1"/>
  <c r="N108" i="1"/>
  <c r="Z115" i="1"/>
  <c r="N124" i="1"/>
  <c r="Z144" i="1"/>
  <c r="H14" i="1"/>
  <c r="W18" i="1"/>
  <c r="AI26" i="1"/>
  <c r="K32" i="1"/>
  <c r="AC46" i="1"/>
  <c r="AF57" i="1"/>
  <c r="W76" i="1"/>
  <c r="AF83" i="1"/>
  <c r="Q89" i="1"/>
  <c r="AL101" i="1"/>
  <c r="AI108" i="1"/>
  <c r="AI115" i="1"/>
  <c r="Q124" i="1"/>
  <c r="AC144" i="1"/>
  <c r="W14" i="1"/>
  <c r="Z27" i="1"/>
  <c r="Z38" i="1"/>
  <c r="N59" i="1"/>
  <c r="Q70" i="1"/>
  <c r="W89" i="1"/>
  <c r="K109" i="1"/>
  <c r="AI124" i="1"/>
  <c r="Z14" i="1"/>
  <c r="N109" i="1"/>
  <c r="D12" i="1"/>
  <c r="AI14" i="1"/>
  <c r="H19" i="1"/>
  <c r="K24" i="1"/>
  <c r="W29" i="1"/>
  <c r="AL38" i="1"/>
  <c r="Q48" i="1"/>
  <c r="AO52" i="1"/>
  <c r="AI59" i="1"/>
  <c r="AL70" i="1"/>
  <c r="AI77" i="1"/>
  <c r="Z84" i="1"/>
  <c r="Z91" i="1"/>
  <c r="AC96" i="1"/>
  <c r="AI103" i="1"/>
  <c r="W109" i="1"/>
  <c r="T118" i="1"/>
  <c r="Z125" i="1"/>
  <c r="Q140" i="1"/>
  <c r="AC149" i="1"/>
  <c r="H12" i="1"/>
  <c r="H15" i="1"/>
  <c r="Z19" i="1"/>
  <c r="N24" i="1"/>
  <c r="Z29" i="1"/>
  <c r="H34" i="1"/>
  <c r="AO38" i="1"/>
  <c r="AO48" i="1"/>
  <c r="AL59" i="1"/>
  <c r="W72" i="1"/>
  <c r="AO78" i="1"/>
  <c r="H85" i="1"/>
  <c r="AC91" i="1"/>
  <c r="N97" i="1"/>
  <c r="AO103" i="1"/>
  <c r="AF109" i="1"/>
  <c r="AC118" i="1"/>
  <c r="AC125" i="1"/>
  <c r="T140" i="1"/>
  <c r="AF149" i="1"/>
  <c r="AF21" i="1"/>
  <c r="N32" i="1"/>
  <c r="Q52" i="1"/>
  <c r="Z77" i="1"/>
  <c r="K96" i="1"/>
  <c r="AL115" i="1"/>
  <c r="AO21" i="1"/>
  <c r="AI38" i="1"/>
  <c r="W52" i="1"/>
  <c r="AF77" i="1"/>
  <c r="AF89" i="1"/>
  <c r="AC103" i="1"/>
  <c r="W125" i="1"/>
  <c r="Q24" i="1"/>
  <c r="H39" i="1"/>
  <c r="H49" i="1"/>
  <c r="AC54" i="1"/>
  <c r="N60" i="1"/>
  <c r="Z72" i="1"/>
  <c r="W80" i="1"/>
  <c r="Q85" i="1"/>
  <c r="AF91" i="1"/>
  <c r="Q97" i="1"/>
  <c r="N105" i="1"/>
  <c r="AL109" i="1"/>
  <c r="AL118" i="1"/>
  <c r="AF125" i="1"/>
  <c r="W140" i="1"/>
  <c r="AI149" i="1"/>
  <c r="Z21" i="1"/>
  <c r="AC18" i="1"/>
  <c r="Q32" i="1"/>
  <c r="AF38" i="1"/>
  <c r="AO46" i="1"/>
  <c r="T52" i="1"/>
  <c r="T59" i="1"/>
  <c r="AC77" i="1"/>
  <c r="AO83" i="1"/>
  <c r="Z89" i="1"/>
  <c r="N96" i="1"/>
  <c r="W103" i="1"/>
  <c r="K116" i="1"/>
  <c r="T125" i="1"/>
  <c r="W148" i="1"/>
  <c r="AF14" i="1"/>
  <c r="AF18" i="1"/>
  <c r="T32" i="1"/>
  <c r="AO47" i="1"/>
  <c r="Z59" i="1"/>
  <c r="H84" i="1"/>
  <c r="T96" i="1"/>
  <c r="Q109" i="1"/>
  <c r="Q118" i="1"/>
  <c r="N149" i="1"/>
  <c r="K12" i="1"/>
  <c r="AC19" i="1"/>
  <c r="N34" i="1"/>
  <c r="N12" i="1"/>
  <c r="K16" i="1"/>
  <c r="T24" i="1"/>
  <c r="AF29" i="1"/>
  <c r="AL39" i="1"/>
  <c r="K49" i="1"/>
  <c r="Q60" i="1"/>
  <c r="T73" i="1"/>
  <c r="W85" i="1"/>
  <c r="AI91" i="1"/>
  <c r="Q105" i="1"/>
  <c r="H111" i="1"/>
  <c r="W119" i="1"/>
  <c r="AI125" i="1"/>
  <c r="AF140" i="1"/>
  <c r="Q12" i="1"/>
  <c r="Q16" i="1"/>
  <c r="AI19" i="1"/>
  <c r="W24" i="1"/>
  <c r="AL29" i="1"/>
  <c r="AI34" i="1"/>
  <c r="AI40" i="1" s="1"/>
  <c r="N49" i="1"/>
  <c r="AI55" i="1"/>
  <c r="W60" i="1"/>
  <c r="W73" i="1"/>
  <c r="AF80" i="1"/>
  <c r="AL91" i="1"/>
  <c r="T99" i="1"/>
  <c r="T105" i="1"/>
  <c r="K112" i="1"/>
  <c r="AC119" i="1"/>
  <c r="T128" i="1"/>
  <c r="AI140" i="1"/>
  <c r="AC26" i="1"/>
  <c r="K52" i="1"/>
  <c r="K89" i="1"/>
  <c r="T136" i="1"/>
  <c r="AC21" i="1"/>
  <c r="H37" i="1"/>
  <c r="N52" i="1"/>
  <c r="N95" i="1"/>
  <c r="W136" i="1"/>
  <c r="Z18" i="1"/>
  <c r="AI46" i="1"/>
  <c r="AL83" i="1"/>
  <c r="AC27" i="1"/>
  <c r="W70" i="1"/>
  <c r="AL139" i="1"/>
  <c r="AC28" i="1"/>
  <c r="AI70" i="1"/>
  <c r="K140" i="1"/>
  <c r="N15" i="1"/>
  <c r="AC29" i="1"/>
  <c r="AF19" i="1"/>
  <c r="AF34" i="1"/>
  <c r="AF54" i="1"/>
  <c r="AC80" i="1"/>
  <c r="W97" i="1"/>
  <c r="T12" i="1"/>
  <c r="W16" i="1"/>
  <c r="T20" i="1"/>
  <c r="Z24" i="1"/>
  <c r="H30" i="1"/>
  <c r="AO34" i="1"/>
  <c r="AF44" i="1"/>
  <c r="Q49" i="1"/>
  <c r="AL55" i="1"/>
  <c r="AI61" i="1"/>
  <c r="AC73" i="1"/>
  <c r="AL80" i="1"/>
  <c r="K87" i="1"/>
  <c r="AO91" i="1"/>
  <c r="Z99" i="1"/>
  <c r="W105" i="1"/>
  <c r="W112" i="1"/>
  <c r="AL119" i="1"/>
  <c r="AL128" i="1"/>
  <c r="C132" i="1"/>
  <c r="C156" i="1" s="1"/>
  <c r="AI152" i="1"/>
  <c r="Z149" i="1"/>
  <c r="AO143" i="1"/>
  <c r="AC141" i="1"/>
  <c r="K139" i="1"/>
  <c r="K135" i="1"/>
  <c r="AC127" i="1"/>
  <c r="Q125" i="1"/>
  <c r="Q122" i="1"/>
  <c r="AI119" i="1"/>
  <c r="AF117" i="1"/>
  <c r="AF113" i="1"/>
  <c r="T111" i="1"/>
  <c r="H109" i="1"/>
  <c r="Q106" i="1"/>
  <c r="H104" i="1"/>
  <c r="N101" i="1"/>
  <c r="H99" i="1"/>
  <c r="H97" i="1"/>
  <c r="AO94" i="1"/>
  <c r="AI92" i="1"/>
  <c r="T90" i="1"/>
  <c r="W88" i="1"/>
  <c r="T83" i="1"/>
  <c r="AC81" i="1"/>
  <c r="Z79" i="1"/>
  <c r="T77" i="1"/>
  <c r="T75" i="1"/>
  <c r="N73" i="1"/>
  <c r="K71" i="1"/>
  <c r="Q63" i="1"/>
  <c r="AL60" i="1"/>
  <c r="AI58" i="1"/>
  <c r="AL56" i="1"/>
  <c r="H52" i="1"/>
  <c r="H50" i="1"/>
  <c r="AC47" i="1"/>
  <c r="AF39" i="1"/>
  <c r="AF37" i="1"/>
  <c r="AO35" i="1"/>
  <c r="K34" i="1"/>
  <c r="AI31" i="1"/>
  <c r="K30" i="1"/>
  <c r="T28" i="1"/>
  <c r="AF26" i="1"/>
  <c r="N25" i="1"/>
  <c r="AO22" i="1"/>
  <c r="Q21" i="1"/>
  <c r="Q18" i="1"/>
  <c r="Z16" i="1"/>
  <c r="Q15" i="1"/>
  <c r="AF12" i="1"/>
  <c r="AL152" i="1"/>
  <c r="Q149" i="1"/>
  <c r="AL143" i="1"/>
  <c r="Z141" i="1"/>
  <c r="H135" i="1"/>
  <c r="W127" i="1"/>
  <c r="AL124" i="1"/>
  <c r="N122" i="1"/>
  <c r="AF119" i="1"/>
  <c r="N117" i="1"/>
  <c r="AC113" i="1"/>
  <c r="Q111" i="1"/>
  <c r="AO108" i="1"/>
  <c r="K106" i="1"/>
  <c r="H101" i="1"/>
  <c r="AI98" i="1"/>
  <c r="AF96" i="1"/>
  <c r="AC94" i="1"/>
  <c r="N92" i="1"/>
  <c r="Q90" i="1"/>
  <c r="T88" i="1"/>
  <c r="T85" i="1"/>
  <c r="Q83" i="1"/>
  <c r="Q81" i="1"/>
  <c r="T79" i="1"/>
  <c r="Q77" i="1"/>
  <c r="N75" i="1"/>
  <c r="K73" i="1"/>
  <c r="Z152" i="1"/>
  <c r="AO148" i="1"/>
  <c r="K141" i="1"/>
  <c r="AL136" i="1"/>
  <c r="AI134" i="1"/>
  <c r="K127" i="1"/>
  <c r="Z124" i="1"/>
  <c r="AL121" i="1"/>
  <c r="Z119" i="1"/>
  <c r="AO116" i="1"/>
  <c r="W113" i="1"/>
  <c r="K111" i="1"/>
  <c r="W108" i="1"/>
  <c r="AI105" i="1"/>
  <c r="AL103" i="1"/>
  <c r="AL100" i="1"/>
  <c r="AF98" i="1"/>
  <c r="Z96" i="1"/>
  <c r="T94" i="1"/>
  <c r="H92" i="1"/>
  <c r="N90" i="1"/>
  <c r="K88" i="1"/>
  <c r="N85" i="1"/>
  <c r="H83" i="1"/>
  <c r="K81" i="1"/>
  <c r="H79" i="1"/>
  <c r="AL76" i="1"/>
  <c r="AI74" i="1"/>
  <c r="H73" i="1"/>
  <c r="AO70" i="1"/>
  <c r="Z62" i="1"/>
  <c r="Q58" i="1"/>
  <c r="W54" i="1"/>
  <c r="AI51" i="1"/>
  <c r="N47" i="1"/>
  <c r="H45" i="1"/>
  <c r="K39" i="1"/>
  <c r="Q37" i="1"/>
  <c r="AF35" i="1"/>
  <c r="AL32" i="1"/>
  <c r="W31" i="1"/>
  <c r="AI29" i="1"/>
  <c r="H28" i="1"/>
  <c r="T26" i="1"/>
  <c r="H25" i="1"/>
  <c r="Q22" i="1"/>
  <c r="H21" i="1"/>
  <c r="W19" i="1"/>
  <c r="AL17" i="1"/>
  <c r="T16" i="1"/>
  <c r="K15" i="1"/>
  <c r="AI13" i="1"/>
  <c r="T148" i="1"/>
  <c r="W142" i="1"/>
  <c r="AI139" i="1"/>
  <c r="Z135" i="1"/>
  <c r="N127" i="1"/>
  <c r="K124" i="1"/>
  <c r="Q121" i="1"/>
  <c r="H118" i="1"/>
  <c r="AO113" i="1"/>
  <c r="Z110" i="1"/>
  <c r="AF107" i="1"/>
  <c r="K105" i="1"/>
  <c r="T101" i="1"/>
  <c r="AC98" i="1"/>
  <c r="H96" i="1"/>
  <c r="T93" i="1"/>
  <c r="AF90" i="1"/>
  <c r="N88" i="1"/>
  <c r="W84" i="1"/>
  <c r="Q82" i="1"/>
  <c r="K80" i="1"/>
  <c r="W77" i="1"/>
  <c r="AC74" i="1"/>
  <c r="T72" i="1"/>
  <c r="Q61" i="1"/>
  <c r="H59" i="1"/>
  <c r="AC56" i="1"/>
  <c r="Q54" i="1"/>
  <c r="H51" i="1"/>
  <c r="AL48" i="1"/>
  <c r="K46" i="1"/>
  <c r="H44" i="1"/>
  <c r="AL37" i="1"/>
  <c r="AL35" i="1"/>
  <c r="AI32" i="1"/>
  <c r="N31" i="1"/>
  <c r="K29" i="1"/>
  <c r="W27" i="1"/>
  <c r="AC25" i="1"/>
  <c r="AC33" i="1" s="1"/>
  <c r="H24" i="1"/>
  <c r="N21" i="1"/>
  <c r="T19" i="1"/>
  <c r="AC17" i="1"/>
  <c r="H16" i="1"/>
  <c r="T14" i="1"/>
  <c r="AO12" i="1"/>
  <c r="AC152" i="1"/>
  <c r="Q148" i="1"/>
  <c r="T142" i="1"/>
  <c r="AF139" i="1"/>
  <c r="Q135" i="1"/>
  <c r="H127" i="1"/>
  <c r="H124" i="1"/>
  <c r="AO120" i="1"/>
  <c r="AO117" i="1"/>
  <c r="Z113" i="1"/>
  <c r="T110" i="1"/>
  <c r="AC107" i="1"/>
  <c r="W104" i="1"/>
  <c r="Q101" i="1"/>
  <c r="Z98" i="1"/>
  <c r="Q93" i="1"/>
  <c r="AC90" i="1"/>
  <c r="H88" i="1"/>
  <c r="T84" i="1"/>
  <c r="N82" i="1"/>
  <c r="H80" i="1"/>
  <c r="N77" i="1"/>
  <c r="Z74" i="1"/>
  <c r="Q72" i="1"/>
  <c r="AF63" i="1"/>
  <c r="K61" i="1"/>
  <c r="AO58" i="1"/>
  <c r="T56" i="1"/>
  <c r="N54" i="1"/>
  <c r="AO50" i="1"/>
  <c r="AI48" i="1"/>
  <c r="H46" i="1"/>
  <c r="AI37" i="1"/>
  <c r="AI35" i="1"/>
  <c r="AC32" i="1"/>
  <c r="H29" i="1"/>
  <c r="T27" i="1"/>
  <c r="W25" i="1"/>
  <c r="K21" i="1"/>
  <c r="Q19" i="1"/>
  <c r="Z17" i="1"/>
  <c r="AO15" i="1"/>
  <c r="Q14" i="1"/>
  <c r="AL12" i="1"/>
  <c r="W152" i="1"/>
  <c r="K148" i="1"/>
  <c r="Q142" i="1"/>
  <c r="AC139" i="1"/>
  <c r="N135" i="1"/>
  <c r="AL126" i="1"/>
  <c r="AL123" i="1"/>
  <c r="AL120" i="1"/>
  <c r="AL117" i="1"/>
  <c r="H113" i="1"/>
  <c r="Q110" i="1"/>
  <c r="W107" i="1"/>
  <c r="T104" i="1"/>
  <c r="AO100" i="1"/>
  <c r="K98" i="1"/>
  <c r="AC95" i="1"/>
  <c r="N93" i="1"/>
  <c r="W90" i="1"/>
  <c r="AL87" i="1"/>
  <c r="Q84" i="1"/>
  <c r="K82" i="1"/>
  <c r="AF79" i="1"/>
  <c r="AF76" i="1"/>
  <c r="W74" i="1"/>
  <c r="N72" i="1"/>
  <c r="AC63" i="1"/>
  <c r="H61" i="1"/>
  <c r="Z58" i="1"/>
  <c r="Q56" i="1"/>
  <c r="AI50" i="1"/>
  <c r="AF48" i="1"/>
  <c r="AO39" i="1"/>
  <c r="AC37" i="1"/>
  <c r="AC35" i="1"/>
  <c r="Z32" i="1"/>
  <c r="K31" i="1"/>
  <c r="AO28" i="1"/>
  <c r="Q27" i="1"/>
  <c r="T25" i="1"/>
  <c r="AC22" i="1"/>
  <c r="N19" i="1"/>
  <c r="W17" i="1"/>
  <c r="AL15" i="1"/>
  <c r="N14" i="1"/>
  <c r="H148" i="1"/>
  <c r="H150" i="1" s="1"/>
  <c r="N142" i="1"/>
  <c r="Z139" i="1"/>
  <c r="AO134" i="1"/>
  <c r="W126" i="1"/>
  <c r="AC123" i="1"/>
  <c r="Q120" i="1"/>
  <c r="AI117" i="1"/>
  <c r="AO112" i="1"/>
  <c r="N110" i="1"/>
  <c r="N107" i="1"/>
  <c r="N104" i="1"/>
  <c r="AI100" i="1"/>
  <c r="AO97" i="1"/>
  <c r="T95" i="1"/>
  <c r="K93" i="1"/>
  <c r="AF87" i="1"/>
  <c r="AC79" i="1"/>
  <c r="AC76" i="1"/>
  <c r="T74" i="1"/>
  <c r="H72" i="1"/>
  <c r="Z63" i="1"/>
  <c r="AO60" i="1"/>
  <c r="T58" i="1"/>
  <c r="K56" i="1"/>
  <c r="H54" i="1"/>
  <c r="AF50" i="1"/>
  <c r="AF45" i="1"/>
  <c r="Z37" i="1"/>
  <c r="W35" i="1"/>
  <c r="AL30" i="1"/>
  <c r="AL28" i="1"/>
  <c r="K27" i="1"/>
  <c r="Q25" i="1"/>
  <c r="T152" i="1"/>
  <c r="K152" i="1"/>
  <c r="K142" i="1"/>
  <c r="N139" i="1"/>
  <c r="T126" i="1"/>
  <c r="T123" i="1"/>
  <c r="N120" i="1"/>
  <c r="H117" i="1"/>
  <c r="AL112" i="1"/>
  <c r="K110" i="1"/>
  <c r="K107" i="1"/>
  <c r="K104" i="1"/>
  <c r="W100" i="1"/>
  <c r="AI97" i="1"/>
  <c r="Q95" i="1"/>
  <c r="H93" i="1"/>
  <c r="W87" i="1"/>
  <c r="K84" i="1"/>
  <c r="AO81" i="1"/>
  <c r="N79" i="1"/>
  <c r="Z76" i="1"/>
  <c r="K74" i="1"/>
  <c r="AL71" i="1"/>
  <c r="W63" i="1"/>
  <c r="AI60" i="1"/>
  <c r="N58" i="1"/>
  <c r="H56" i="1"/>
  <c r="H48" i="1"/>
  <c r="AC45" i="1"/>
  <c r="AC39" i="1"/>
  <c r="N37" i="1"/>
  <c r="H35" i="1"/>
  <c r="W32" i="1"/>
  <c r="AI30" i="1"/>
  <c r="AF28" i="1"/>
  <c r="H27" i="1"/>
  <c r="K25" i="1"/>
  <c r="N22" i="1"/>
  <c r="AF20" i="1"/>
  <c r="AI18" i="1"/>
  <c r="T17" i="1"/>
  <c r="Z15" i="1"/>
  <c r="K14" i="1"/>
  <c r="AC12" i="1"/>
  <c r="AL151" i="1"/>
  <c r="AL153" i="1" s="1"/>
  <c r="AL154" i="1" s="1"/>
  <c r="AF144" i="1"/>
  <c r="AL141" i="1"/>
  <c r="Z134" i="1"/>
  <c r="N126" i="1"/>
  <c r="Q123" i="1"/>
  <c r="K120" i="1"/>
  <c r="AF116" i="1"/>
  <c r="AI112" i="1"/>
  <c r="AF17" i="1"/>
  <c r="AI27" i="1"/>
  <c r="K37" i="1"/>
  <c r="H62" i="1"/>
  <c r="T82" i="1"/>
  <c r="H90" i="1"/>
  <c r="AC97" i="1"/>
  <c r="AI106" i="1"/>
  <c r="W111" i="1"/>
  <c r="AI121" i="1"/>
  <c r="AL127" i="1"/>
  <c r="AC136" i="1"/>
  <c r="H143" i="1"/>
  <c r="T15" i="1"/>
  <c r="K28" i="1"/>
  <c r="T51" i="1"/>
  <c r="K62" i="1"/>
  <c r="N71" i="1"/>
  <c r="Z75" i="1"/>
  <c r="AF78" i="1"/>
  <c r="AC82" i="1"/>
  <c r="AO85" i="1"/>
  <c r="Q91" i="1"/>
  <c r="H94" i="1"/>
  <c r="H103" i="1"/>
  <c r="AL106" i="1"/>
  <c r="AF111" i="1"/>
  <c r="Z116" i="1"/>
  <c r="K122" i="1"/>
  <c r="AO127" i="1"/>
  <c r="AF136" i="1"/>
  <c r="K143" i="1"/>
  <c r="W151" i="1"/>
  <c r="AF27" i="1"/>
  <c r="Q34" i="1"/>
  <c r="AL57" i="1"/>
  <c r="AF74" i="1"/>
  <c r="AL81" i="1"/>
  <c r="AI89" i="1"/>
  <c r="Z97" i="1"/>
  <c r="AL105" i="1"/>
  <c r="AI142" i="1"/>
  <c r="AI25" i="1"/>
  <c r="T78" i="1"/>
  <c r="H26" i="1"/>
  <c r="AC34" i="1"/>
  <c r="AC44" i="1"/>
  <c r="AF47" i="1"/>
  <c r="W51" i="1"/>
  <c r="Q55" i="1"/>
  <c r="H58" i="1"/>
  <c r="N62" i="1"/>
  <c r="Q71" i="1"/>
  <c r="AC75" i="1"/>
  <c r="AI78" i="1"/>
  <c r="AF82" i="1"/>
  <c r="T91" i="1"/>
  <c r="Z94" i="1"/>
  <c r="N103" i="1"/>
  <c r="H107" i="1"/>
  <c r="AI111" i="1"/>
  <c r="K118" i="1"/>
  <c r="T122" i="1"/>
  <c r="N128" i="1"/>
  <c r="AI136" i="1"/>
  <c r="W143" i="1"/>
  <c r="AF151" i="1"/>
  <c r="AC30" i="1"/>
  <c r="T50" i="1"/>
  <c r="AO54" i="1"/>
  <c r="AO61" i="1"/>
  <c r="H71" i="1"/>
  <c r="K78" i="1"/>
  <c r="AF85" i="1"/>
  <c r="AL93" i="1"/>
  <c r="AO101" i="1"/>
  <c r="N111" i="1"/>
  <c r="N116" i="1"/>
  <c r="AF121" i="1"/>
  <c r="H126" i="1"/>
  <c r="Z136" i="1"/>
  <c r="AO19" i="1"/>
  <c r="H22" i="1"/>
  <c r="AF30" i="1"/>
  <c r="K44" i="1"/>
  <c r="T47" i="1"/>
  <c r="H55" i="1"/>
  <c r="AO57" i="1"/>
  <c r="H75" i="1"/>
  <c r="AL85" i="1"/>
  <c r="AO93" i="1"/>
  <c r="Q116" i="1"/>
  <c r="N151" i="1"/>
  <c r="B5" i="1"/>
  <c r="AG49" i="1" s="1"/>
  <c r="AH49" i="1" s="1"/>
  <c r="W13" i="1"/>
  <c r="AI17" i="1"/>
  <c r="K20" i="1"/>
  <c r="AO25" i="1"/>
  <c r="Q31" i="1"/>
  <c r="Z47" i="1"/>
  <c r="N55" i="1"/>
  <c r="AF97" i="1"/>
  <c r="Z13" i="1"/>
  <c r="W15" i="1"/>
  <c r="H18" i="1"/>
  <c r="N20" i="1"/>
  <c r="K22" i="1"/>
  <c r="Q28" i="1"/>
  <c r="K38" i="1"/>
  <c r="AF13" i="1"/>
  <c r="AF15" i="1"/>
  <c r="N18" i="1"/>
  <c r="Q20" i="1"/>
  <c r="W22" i="1"/>
  <c r="K26" i="1"/>
  <c r="Z28" i="1"/>
  <c r="Z31" i="1"/>
  <c r="Q38" i="1"/>
  <c r="AI47" i="1"/>
  <c r="AL51" i="1"/>
  <c r="AC55" i="1"/>
  <c r="K59" i="1"/>
  <c r="Q62" i="1"/>
  <c r="Z71" i="1"/>
  <c r="AL78" i="1"/>
  <c r="AI82" i="1"/>
  <c r="H87" i="1"/>
  <c r="W91" i="1"/>
  <c r="H95" i="1"/>
  <c r="K99" i="1"/>
  <c r="Q103" i="1"/>
  <c r="AI107" i="1"/>
  <c r="AL111" i="1"/>
  <c r="N118" i="1"/>
  <c r="AO122" i="1"/>
  <c r="Q128" i="1"/>
  <c r="AO136" i="1"/>
  <c r="AI143" i="1"/>
  <c r="AI151" i="1"/>
  <c r="AI116" i="1"/>
  <c r="W118" i="1"/>
  <c r="Z120" i="1"/>
  <c r="AI122" i="1"/>
  <c r="AC124" i="1"/>
  <c r="AF126" i="1"/>
  <c r="W128" i="1"/>
  <c r="T135" i="1"/>
  <c r="AL142" i="1"/>
  <c r="AL149" i="1"/>
  <c r="AF152" i="1"/>
  <c r="AF153" i="1" s="1"/>
  <c r="AF154" i="1" s="1"/>
  <c r="Z12" i="1"/>
  <c r="AC15" i="1"/>
  <c r="AF16" i="1"/>
  <c r="AO17" i="1"/>
  <c r="T22" i="1"/>
  <c r="N29" i="1"/>
  <c r="T30" i="1"/>
  <c r="AC31" i="1"/>
  <c r="AF32" i="1"/>
  <c r="AL34" i="1"/>
  <c r="Z36" i="1"/>
  <c r="AI39" i="1"/>
  <c r="AO44" i="1"/>
  <c r="AL47" i="1"/>
  <c r="AF49" i="1"/>
  <c r="K51" i="1"/>
  <c r="AL52" i="1"/>
  <c r="K55" i="1"/>
  <c r="AF59" i="1"/>
  <c r="N61" i="1"/>
  <c r="AL62" i="1"/>
  <c r="T70" i="1"/>
  <c r="AO71" i="1"/>
  <c r="Q73" i="1"/>
  <c r="Q78" i="1"/>
  <c r="AI79" i="1"/>
  <c r="AF81" i="1"/>
  <c r="N83" i="1"/>
  <c r="AO84" i="1"/>
  <c r="N87" i="1"/>
  <c r="AO88" i="1"/>
  <c r="Z90" i="1"/>
  <c r="W92" i="1"/>
  <c r="W94" i="1"/>
  <c r="Q96" i="1"/>
  <c r="AL97" i="1"/>
  <c r="AO99" i="1"/>
  <c r="AI101" i="1"/>
  <c r="Q104" i="1"/>
  <c r="T106" i="1"/>
  <c r="AF108" i="1"/>
  <c r="AL116" i="1"/>
  <c r="Z118" i="1"/>
  <c r="AC120" i="1"/>
  <c r="AL122" i="1"/>
  <c r="AF124" i="1"/>
  <c r="AI126" i="1"/>
  <c r="AF128" i="1"/>
  <c r="W135" i="1"/>
  <c r="AL140" i="1"/>
  <c r="AO142" i="1"/>
  <c r="AO149" i="1"/>
  <c r="Q152" i="1"/>
  <c r="H151" i="1"/>
  <c r="K149" i="1"/>
  <c r="N152" i="1"/>
  <c r="H149" i="1"/>
  <c r="AF143" i="1"/>
  <c r="Z142" i="1"/>
  <c r="W141" i="1"/>
  <c r="N140" i="1"/>
  <c r="K136" i="1"/>
  <c r="AL134" i="1"/>
  <c r="AI128" i="1"/>
  <c r="Z127" i="1"/>
  <c r="Q126" i="1"/>
  <c r="K125" i="1"/>
  <c r="AO123" i="1"/>
  <c r="AC122" i="1"/>
  <c r="T121" i="1"/>
  <c r="AO118" i="1"/>
  <c r="AC116" i="1"/>
  <c r="T115" i="1"/>
  <c r="T113" i="1"/>
  <c r="N112" i="1"/>
  <c r="AO110" i="1"/>
  <c r="AI109" i="1"/>
  <c r="Z107" i="1"/>
  <c r="N106" i="1"/>
  <c r="AO104" i="1"/>
  <c r="AF103" i="1"/>
  <c r="AF101" i="1"/>
  <c r="Z100" i="1"/>
  <c r="W99" i="1"/>
  <c r="N98" i="1"/>
  <c r="K97" i="1"/>
  <c r="AO95" i="1"/>
  <c r="AL94" i="1"/>
  <c r="AF93" i="1"/>
  <c r="Z92" i="1"/>
  <c r="N91" i="1"/>
  <c r="K90" i="1"/>
  <c r="AL88" i="1"/>
  <c r="AI87" i="1"/>
  <c r="AI85" i="1"/>
  <c r="AI84" i="1"/>
  <c r="AI83" i="1"/>
  <c r="Z81" i="1"/>
  <c r="Z80" i="1"/>
  <c r="Q79" i="1"/>
  <c r="N78" i="1"/>
  <c r="K77" i="1"/>
  <c r="N76" i="1"/>
  <c r="K75" i="1"/>
  <c r="AL73" i="1"/>
  <c r="AI72" i="1"/>
  <c r="AI71" i="1"/>
  <c r="AF70" i="1"/>
  <c r="AL63" i="1"/>
  <c r="AO62" i="1"/>
  <c r="AF60" i="1"/>
  <c r="AC59" i="1"/>
  <c r="AI57" i="1"/>
  <c r="AF56" i="1"/>
  <c r="AF55" i="1"/>
  <c r="Z54" i="1"/>
  <c r="AC50" i="1"/>
  <c r="AC48" i="1"/>
  <c r="W47" i="1"/>
  <c r="Z46" i="1"/>
  <c r="Z45" i="1"/>
  <c r="T44" i="1"/>
  <c r="AC38" i="1"/>
  <c r="Z35" i="1"/>
  <c r="Z34" i="1"/>
  <c r="H152" i="1"/>
  <c r="AL148" i="1"/>
  <c r="AL150" i="1" s="1"/>
  <c r="AL144" i="1"/>
  <c r="AC143" i="1"/>
  <c r="Q141" i="1"/>
  <c r="H140" i="1"/>
  <c r="AO135" i="1"/>
  <c r="AF134" i="1"/>
  <c r="AC128" i="1"/>
  <c r="T127" i="1"/>
  <c r="K126" i="1"/>
  <c r="H125" i="1"/>
  <c r="AI123" i="1"/>
  <c r="W122" i="1"/>
  <c r="N121" i="1"/>
  <c r="H120" i="1"/>
  <c r="AI118" i="1"/>
  <c r="W116" i="1"/>
  <c r="N115" i="1"/>
  <c r="N113" i="1"/>
  <c r="H112" i="1"/>
  <c r="AI110" i="1"/>
  <c r="AC109" i="1"/>
  <c r="AC108" i="1"/>
  <c r="T107" i="1"/>
  <c r="H106" i="1"/>
  <c r="AI104" i="1"/>
  <c r="Z103" i="1"/>
  <c r="Z101" i="1"/>
  <c r="Q99" i="1"/>
  <c r="H98" i="1"/>
  <c r="AO96" i="1"/>
  <c r="AI94" i="1"/>
  <c r="Z93" i="1"/>
  <c r="T92" i="1"/>
  <c r="H91" i="1"/>
  <c r="AO89" i="1"/>
  <c r="AC87" i="1"/>
  <c r="AF84" i="1"/>
  <c r="AC83" i="1"/>
  <c r="Z82" i="1"/>
  <c r="T80" i="1"/>
  <c r="H78" i="1"/>
  <c r="H77" i="1"/>
  <c r="H76" i="1"/>
  <c r="AO74" i="1"/>
  <c r="AF73" i="1"/>
  <c r="AF71" i="1"/>
  <c r="AC70" i="1"/>
  <c r="AI63" i="1"/>
  <c r="AI62" i="1"/>
  <c r="AF61" i="1"/>
  <c r="AC60" i="1"/>
  <c r="AF58" i="1"/>
  <c r="Z56" i="1"/>
  <c r="Z55" i="1"/>
  <c r="AF52" i="1"/>
  <c r="AF51" i="1"/>
  <c r="Z50" i="1"/>
  <c r="Z49" i="1"/>
  <c r="W48" i="1"/>
  <c r="T46" i="1"/>
  <c r="W45" i="1"/>
  <c r="Q44" i="1"/>
  <c r="Z39" i="1"/>
  <c r="W38" i="1"/>
  <c r="W37" i="1"/>
  <c r="W36" i="1"/>
  <c r="T35" i="1"/>
  <c r="AO151" i="1"/>
  <c r="AI148" i="1"/>
  <c r="AI144" i="1"/>
  <c r="Z143" i="1"/>
  <c r="N141" i="1"/>
  <c r="AO139" i="1"/>
  <c r="AL135" i="1"/>
  <c r="AC134" i="1"/>
  <c r="Z128" i="1"/>
  <c r="Q127" i="1"/>
  <c r="AO124" i="1"/>
  <c r="AF123" i="1"/>
  <c r="K121" i="1"/>
  <c r="AO119" i="1"/>
  <c r="AF118" i="1"/>
  <c r="AC117" i="1"/>
  <c r="T116" i="1"/>
  <c r="K115" i="1"/>
  <c r="K113" i="1"/>
  <c r="AO111" i="1"/>
  <c r="AF110" i="1"/>
  <c r="Z109" i="1"/>
  <c r="Z108" i="1"/>
  <c r="Q107" i="1"/>
  <c r="AO105" i="1"/>
  <c r="AF104" i="1"/>
  <c r="W101" i="1"/>
  <c r="T100" i="1"/>
  <c r="N99" i="1"/>
  <c r="AL96" i="1"/>
  <c r="AI95" i="1"/>
  <c r="AF94" i="1"/>
  <c r="Q92" i="1"/>
  <c r="AO90" i="1"/>
  <c r="AL89" i="1"/>
  <c r="AF88" i="1"/>
  <c r="Z87" i="1"/>
  <c r="AC85" i="1"/>
  <c r="AC84" i="1"/>
  <c r="W82" i="1"/>
  <c r="T81" i="1"/>
  <c r="Q80" i="1"/>
  <c r="K79" i="1"/>
  <c r="AO77" i="1"/>
  <c r="AO76" i="1"/>
  <c r="AO75" i="1"/>
  <c r="AL74" i="1"/>
  <c r="AC72" i="1"/>
  <c r="AC71" i="1"/>
  <c r="Z70" i="1"/>
  <c r="AC61" i="1"/>
  <c r="Z60" i="1"/>
  <c r="W59" i="1"/>
  <c r="AC58" i="1"/>
  <c r="AC57" i="1"/>
  <c r="W56" i="1"/>
  <c r="T54" i="1"/>
  <c r="AC52" i="1"/>
  <c r="AC51" i="1"/>
  <c r="W50" i="1"/>
  <c r="W49" i="1"/>
  <c r="T48" i="1"/>
  <c r="Q47" i="1"/>
  <c r="Q46" i="1"/>
  <c r="T45" i="1"/>
  <c r="N44" i="1"/>
  <c r="W39" i="1"/>
  <c r="T37" i="1"/>
  <c r="T36" i="1"/>
  <c r="Q35" i="1"/>
  <c r="T34" i="1"/>
  <c r="AC151" i="1"/>
  <c r="W149" i="1"/>
  <c r="T143" i="1"/>
  <c r="H142" i="1"/>
  <c r="AC140" i="1"/>
  <c r="H139" i="1"/>
  <c r="H136" i="1"/>
  <c r="W134" i="1"/>
  <c r="K128" i="1"/>
  <c r="AC126" i="1"/>
  <c r="Z123" i="1"/>
  <c r="H122" i="1"/>
  <c r="W120" i="1"/>
  <c r="K119" i="1"/>
  <c r="Z117" i="1"/>
  <c r="H116" i="1"/>
  <c r="AL113" i="1"/>
  <c r="T112" i="1"/>
  <c r="AL110" i="1"/>
  <c r="H108" i="1"/>
  <c r="Z106" i="1"/>
  <c r="AI99" i="1"/>
  <c r="T98" i="1"/>
  <c r="Z95" i="1"/>
  <c r="AF92" i="1"/>
  <c r="K91" i="1"/>
  <c r="AC89" i="1"/>
  <c r="Q88" i="1"/>
  <c r="AL84" i="1"/>
  <c r="W83" i="1"/>
  <c r="H82" i="1"/>
  <c r="AI80" i="1"/>
  <c r="W79" i="1"/>
  <c r="AL77" i="1"/>
  <c r="W75" i="1"/>
  <c r="H74" i="1"/>
  <c r="AF72" i="1"/>
  <c r="T71" i="1"/>
  <c r="N70" i="1"/>
  <c r="N63" i="1"/>
  <c r="AL61" i="1"/>
  <c r="T60" i="1"/>
  <c r="Q59" i="1"/>
  <c r="K58" i="1"/>
  <c r="AI56" i="1"/>
  <c r="W55" i="1"/>
  <c r="K54" i="1"/>
  <c r="AL50" i="1"/>
  <c r="AC49" i="1"/>
  <c r="K48" i="1"/>
  <c r="AL46" i="1"/>
  <c r="AI45" i="1"/>
  <c r="W44" i="1"/>
  <c r="T39" i="1"/>
  <c r="N38" i="1"/>
  <c r="W34" i="1"/>
  <c r="T31" i="1"/>
  <c r="W30" i="1"/>
  <c r="T29" i="1"/>
  <c r="W28" i="1"/>
  <c r="Z26" i="1"/>
  <c r="Z25" i="1"/>
  <c r="AC24" i="1"/>
  <c r="AF22" i="1"/>
  <c r="AL21" i="1"/>
  <c r="H20" i="1"/>
  <c r="K19" i="1"/>
  <c r="Q17" i="1"/>
  <c r="N16" i="1"/>
  <c r="Z151" i="1"/>
  <c r="Z153" i="1" s="1"/>
  <c r="Z154" i="1" s="1"/>
  <c r="T149" i="1"/>
  <c r="AO144" i="1"/>
  <c r="Q143" i="1"/>
  <c r="AO141" i="1"/>
  <c r="Z140" i="1"/>
  <c r="AI135" i="1"/>
  <c r="T134" i="1"/>
  <c r="H128" i="1"/>
  <c r="Z126" i="1"/>
  <c r="W123" i="1"/>
  <c r="AO121" i="1"/>
  <c r="T120" i="1"/>
  <c r="H119" i="1"/>
  <c r="W117" i="1"/>
  <c r="AO115" i="1"/>
  <c r="AI113" i="1"/>
  <c r="Q112" i="1"/>
  <c r="AC110" i="1"/>
  <c r="T109" i="1"/>
  <c r="AO107" i="1"/>
  <c r="W106" i="1"/>
  <c r="AL104" i="1"/>
  <c r="T103" i="1"/>
  <c r="K101" i="1"/>
  <c r="AF99" i="1"/>
  <c r="Q98" i="1"/>
  <c r="AI96" i="1"/>
  <c r="W95" i="1"/>
  <c r="K94" i="1"/>
  <c r="T151" i="1"/>
  <c r="AF148" i="1"/>
  <c r="T144" i="1"/>
  <c r="AF142" i="1"/>
  <c r="H141" i="1"/>
  <c r="T139" i="1"/>
  <c r="Q136" i="1"/>
  <c r="Q134" i="1"/>
  <c r="AI127" i="1"/>
  <c r="AO125" i="1"/>
  <c r="W124" i="1"/>
  <c r="AF122" i="1"/>
  <c r="AI120" i="1"/>
  <c r="Q119" i="1"/>
  <c r="T117" i="1"/>
  <c r="AF115" i="1"/>
  <c r="Q113" i="1"/>
  <c r="AC111" i="1"/>
  <c r="H110" i="1"/>
  <c r="T108" i="1"/>
  <c r="AF106" i="1"/>
  <c r="AC104" i="1"/>
  <c r="AF100" i="1"/>
  <c r="AO98" i="1"/>
  <c r="AL95" i="1"/>
  <c r="Q94" i="1"/>
  <c r="AI90" i="1"/>
  <c r="T89" i="1"/>
  <c r="W81" i="1"/>
  <c r="AO79" i="1"/>
  <c r="Z78" i="1"/>
  <c r="AI75" i="1"/>
  <c r="Q74" i="1"/>
  <c r="AO72" i="1"/>
  <c r="W71" i="1"/>
  <c r="K70" i="1"/>
  <c r="K63" i="1"/>
  <c r="W61" i="1"/>
  <c r="K60" i="1"/>
  <c r="Z57" i="1"/>
  <c r="N56" i="1"/>
  <c r="AL54" i="1"/>
  <c r="AI52" i="1"/>
  <c r="Q51" i="1"/>
  <c r="AL49" i="1"/>
  <c r="K47" i="1"/>
  <c r="AO45" i="1"/>
  <c r="Z44" i="1"/>
  <c r="Q39" i="1"/>
  <c r="H38" i="1"/>
  <c r="AF36" i="1"/>
  <c r="AO31" i="1"/>
  <c r="H31" i="1"/>
  <c r="AO29" i="1"/>
  <c r="AO27" i="1"/>
  <c r="AO26" i="1"/>
  <c r="AF25" i="1"/>
  <c r="AI24" i="1"/>
  <c r="AL22" i="1"/>
  <c r="AO20" i="1"/>
  <c r="AO18" i="1"/>
  <c r="AL16" i="1"/>
  <c r="AO14" i="1"/>
  <c r="AO13" i="1"/>
  <c r="K13" i="1"/>
  <c r="AC148" i="1"/>
  <c r="AC150" i="1" s="1"/>
  <c r="Q144" i="1"/>
  <c r="AO140" i="1"/>
  <c r="Q139" i="1"/>
  <c r="N136" i="1"/>
  <c r="N134" i="1"/>
  <c r="AF127" i="1"/>
  <c r="AL125" i="1"/>
  <c r="T124" i="1"/>
  <c r="Z122" i="1"/>
  <c r="AF120" i="1"/>
  <c r="N119" i="1"/>
  <c r="Q117" i="1"/>
  <c r="AC115" i="1"/>
  <c r="Z111" i="1"/>
  <c r="AO109" i="1"/>
  <c r="Q108" i="1"/>
  <c r="AC106" i="1"/>
  <c r="Z104" i="1"/>
  <c r="K103" i="1"/>
  <c r="AC100" i="1"/>
  <c r="AL98" i="1"/>
  <c r="T97" i="1"/>
  <c r="AF95" i="1"/>
  <c r="N94" i="1"/>
  <c r="AC92" i="1"/>
  <c r="AO87" i="1"/>
  <c r="Z85" i="1"/>
  <c r="N84" i="1"/>
  <c r="AL82" i="1"/>
  <c r="AL79" i="1"/>
  <c r="W78" i="1"/>
  <c r="AF75" i="1"/>
  <c r="N74" i="1"/>
  <c r="AL72" i="1"/>
  <c r="H70" i="1"/>
  <c r="H63" i="1"/>
  <c r="T61" i="1"/>
  <c r="H60" i="1"/>
  <c r="AL58" i="1"/>
  <c r="W57" i="1"/>
  <c r="AI54" i="1"/>
  <c r="Z52" i="1"/>
  <c r="N51" i="1"/>
  <c r="AI49" i="1"/>
  <c r="Z48" i="1"/>
  <c r="H47" i="1"/>
  <c r="AL45" i="1"/>
  <c r="N39" i="1"/>
  <c r="AO37" i="1"/>
  <c r="AC36" i="1"/>
  <c r="K35" i="1"/>
  <c r="AO30" i="1"/>
  <c r="AI28" i="1"/>
  <c r="AL27" i="1"/>
  <c r="AL26" i="1"/>
  <c r="AF24" i="1"/>
  <c r="AI22" i="1"/>
  <c r="AI21" i="1"/>
  <c r="AL20" i="1"/>
  <c r="AL19" i="1"/>
  <c r="AL18" i="1"/>
  <c r="AL14" i="1"/>
  <c r="H13" i="1"/>
  <c r="AO152" i="1"/>
  <c r="Q151" i="1"/>
  <c r="Z148" i="1"/>
  <c r="Z150" i="1" s="1"/>
  <c r="N144" i="1"/>
  <c r="AC142" i="1"/>
  <c r="AC13" i="1"/>
  <c r="AC14" i="1"/>
  <c r="AI15" i="1"/>
  <c r="H17" i="1"/>
  <c r="K18" i="1"/>
  <c r="W20" i="1"/>
  <c r="Z22" i="1"/>
  <c r="AL25" i="1"/>
  <c r="N27" i="1"/>
  <c r="N28" i="1"/>
  <c r="Q29" i="1"/>
  <c r="AO32" i="1"/>
  <c r="N35" i="1"/>
  <c r="AO36" i="1"/>
  <c r="T38" i="1"/>
  <c r="N45" i="1"/>
  <c r="AF46" i="1"/>
  <c r="N48" i="1"/>
  <c r="AO49" i="1"/>
  <c r="Z51" i="1"/>
  <c r="T55" i="1"/>
  <c r="H57" i="1"/>
  <c r="W58" i="1"/>
  <c r="AO59" i="1"/>
  <c r="Z61" i="1"/>
  <c r="K72" i="1"/>
  <c r="Z73" i="1"/>
  <c r="Q75" i="1"/>
  <c r="AI76" i="1"/>
  <c r="AC78" i="1"/>
  <c r="N80" i="1"/>
  <c r="Z83" i="1"/>
  <c r="K85" i="1"/>
  <c r="T87" i="1"/>
  <c r="N89" i="1"/>
  <c r="AL90" i="1"/>
  <c r="AO92" i="1"/>
  <c r="W96" i="1"/>
  <c r="W98" i="1"/>
  <c r="N100" i="1"/>
  <c r="H105" i="1"/>
  <c r="AO106" i="1"/>
  <c r="AL108" i="1"/>
  <c r="W110" i="1"/>
  <c r="AC112" i="1"/>
  <c r="Q115" i="1"/>
  <c r="K117" i="1"/>
  <c r="T119" i="1"/>
  <c r="H121" i="1"/>
  <c r="K123" i="1"/>
  <c r="N125" i="1"/>
  <c r="AO126" i="1"/>
  <c r="AC135" i="1"/>
  <c r="W139" i="1"/>
  <c r="N143" i="1"/>
  <c r="N148" i="1"/>
  <c r="K151" i="1"/>
  <c r="H53" i="1"/>
  <c r="AM45" i="1"/>
  <c r="AN45" i="1" s="1"/>
  <c r="AG38" i="1"/>
  <c r="AH38" i="1" s="1"/>
  <c r="E152" i="1"/>
  <c r="D152" i="1"/>
  <c r="E151" i="1"/>
  <c r="D151" i="1"/>
  <c r="D149" i="1"/>
  <c r="D148" i="1"/>
  <c r="D144" i="1"/>
  <c r="D143" i="1"/>
  <c r="D142" i="1"/>
  <c r="D141" i="1"/>
  <c r="D140" i="1"/>
  <c r="D139" i="1"/>
  <c r="D136" i="1"/>
  <c r="D135" i="1"/>
  <c r="D134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3" i="1"/>
  <c r="D112" i="1"/>
  <c r="D111" i="1"/>
  <c r="D110" i="1"/>
  <c r="D109" i="1"/>
  <c r="D108" i="1"/>
  <c r="D107" i="1"/>
  <c r="D106" i="1"/>
  <c r="D105" i="1"/>
  <c r="D104" i="1"/>
  <c r="D103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3" i="1"/>
  <c r="D62" i="1"/>
  <c r="D61" i="1"/>
  <c r="D60" i="1"/>
  <c r="D59" i="1"/>
  <c r="E58" i="1"/>
  <c r="G58" i="1" s="1"/>
  <c r="D58" i="1"/>
  <c r="D57" i="1"/>
  <c r="D56" i="1"/>
  <c r="D55" i="1"/>
  <c r="D54" i="1"/>
  <c r="D52" i="1"/>
  <c r="D51" i="1"/>
  <c r="D50" i="1"/>
  <c r="D49" i="1"/>
  <c r="D48" i="1"/>
  <c r="D47" i="1"/>
  <c r="D46" i="1"/>
  <c r="D45" i="1"/>
  <c r="D44" i="1"/>
  <c r="D39" i="1"/>
  <c r="D38" i="1"/>
  <c r="D37" i="1"/>
  <c r="D36" i="1"/>
  <c r="D35" i="1"/>
  <c r="D34" i="1"/>
  <c r="D32" i="1"/>
  <c r="D31" i="1"/>
  <c r="D30" i="1"/>
  <c r="D29" i="1"/>
  <c r="D28" i="1"/>
  <c r="D27" i="1"/>
  <c r="D26" i="1"/>
  <c r="D25" i="1"/>
  <c r="D24" i="1"/>
  <c r="D22" i="1"/>
  <c r="D21" i="1"/>
  <c r="D20" i="1"/>
  <c r="D19" i="1"/>
  <c r="D18" i="1"/>
  <c r="D17" i="1"/>
  <c r="D16" i="1"/>
  <c r="D15" i="1"/>
  <c r="D14" i="1"/>
  <c r="D13" i="1"/>
  <c r="AC153" i="1" l="1"/>
  <c r="AC154" i="1" s="1"/>
  <c r="L49" i="1"/>
  <c r="M49" i="1" s="1"/>
  <c r="X39" i="1"/>
  <c r="Y39" i="1" s="1"/>
  <c r="I143" i="1"/>
  <c r="J143" i="1" s="1"/>
  <c r="AO137" i="1"/>
  <c r="L25" i="1"/>
  <c r="M25" i="1" s="1"/>
  <c r="R54" i="1"/>
  <c r="S54" i="1" s="1"/>
  <c r="E104" i="1"/>
  <c r="G104" i="1" s="1"/>
  <c r="X80" i="1"/>
  <c r="Y80" i="1" s="1"/>
  <c r="AJ48" i="1"/>
  <c r="AK48" i="1" s="1"/>
  <c r="AF53" i="1"/>
  <c r="AI53" i="1"/>
  <c r="AA143" i="1"/>
  <c r="AB143" i="1" s="1"/>
  <c r="Z53" i="1"/>
  <c r="AD45" i="1"/>
  <c r="AE45" i="1" s="1"/>
  <c r="K153" i="1"/>
  <c r="K154" i="1" s="1"/>
  <c r="W150" i="1"/>
  <c r="O16" i="1"/>
  <c r="P16" i="1" s="1"/>
  <c r="W102" i="1"/>
  <c r="I59" i="1"/>
  <c r="J59" i="1" s="1"/>
  <c r="AA54" i="1"/>
  <c r="AD70" i="1"/>
  <c r="AE70" i="1" s="1"/>
  <c r="AP39" i="1"/>
  <c r="AQ39" i="1" s="1"/>
  <c r="AG46" i="1"/>
  <c r="AH46" i="1" s="1"/>
  <c r="E15" i="1"/>
  <c r="G15" i="1" s="1"/>
  <c r="AM55" i="1"/>
  <c r="AN55" i="1" s="1"/>
  <c r="N150" i="1"/>
  <c r="E135" i="1"/>
  <c r="G135" i="1" s="1"/>
  <c r="O46" i="1"/>
  <c r="P46" i="1" s="1"/>
  <c r="L85" i="1"/>
  <c r="M85" i="1" s="1"/>
  <c r="AD151" i="1"/>
  <c r="AE151" i="1" s="1"/>
  <c r="W137" i="1"/>
  <c r="AP89" i="1"/>
  <c r="AQ89" i="1" s="1"/>
  <c r="O103" i="1"/>
  <c r="N153" i="1"/>
  <c r="N154" i="1" s="1"/>
  <c r="AG16" i="1"/>
  <c r="AH16" i="1" s="1"/>
  <c r="AP152" i="1"/>
  <c r="O72" i="1"/>
  <c r="P72" i="1" s="1"/>
  <c r="I55" i="1"/>
  <c r="J55" i="1" s="1"/>
  <c r="O50" i="1"/>
  <c r="P50" i="1" s="1"/>
  <c r="R104" i="1"/>
  <c r="S104" i="1" s="1"/>
  <c r="W33" i="1"/>
  <c r="AF86" i="1"/>
  <c r="N33" i="1"/>
  <c r="AF150" i="1"/>
  <c r="H102" i="1"/>
  <c r="W23" i="1"/>
  <c r="K33" i="1"/>
  <c r="Q64" i="1"/>
  <c r="AC137" i="1"/>
  <c r="Z33" i="1"/>
  <c r="AO86" i="1"/>
  <c r="W153" i="1"/>
  <c r="W154" i="1" s="1"/>
  <c r="W114" i="1"/>
  <c r="AC23" i="1"/>
  <c r="AL33" i="1"/>
  <c r="AI150" i="1"/>
  <c r="AO150" i="1"/>
  <c r="T153" i="1"/>
  <c r="T154" i="1" s="1"/>
  <c r="AQ152" i="1"/>
  <c r="T145" i="1"/>
  <c r="Q53" i="1"/>
  <c r="AI153" i="1"/>
  <c r="AI154" i="1" s="1"/>
  <c r="Z137" i="1"/>
  <c r="AL114" i="1"/>
  <c r="I50" i="1"/>
  <c r="J50" i="1" s="1"/>
  <c r="AJ87" i="1"/>
  <c r="U26" i="1"/>
  <c r="V26" i="1" s="1"/>
  <c r="O83" i="1"/>
  <c r="P83" i="1" s="1"/>
  <c r="R79" i="1"/>
  <c r="S79" i="1" s="1"/>
  <c r="AD91" i="1"/>
  <c r="AE91" i="1" s="1"/>
  <c r="U105" i="1"/>
  <c r="V105" i="1" s="1"/>
  <c r="O85" i="1"/>
  <c r="P85" i="1" s="1"/>
  <c r="AG45" i="1"/>
  <c r="AH45" i="1" s="1"/>
  <c r="O28" i="1"/>
  <c r="P28" i="1" s="1"/>
  <c r="E47" i="1"/>
  <c r="G47" i="1" s="1"/>
  <c r="AG120" i="1"/>
  <c r="AH120" i="1" s="1"/>
  <c r="E81" i="1"/>
  <c r="G81" i="1" s="1"/>
  <c r="E49" i="1"/>
  <c r="G49" i="1" s="1"/>
  <c r="L118" i="1"/>
  <c r="M118" i="1" s="1"/>
  <c r="AA73" i="1"/>
  <c r="AB73" i="1" s="1"/>
  <c r="X95" i="1"/>
  <c r="Y95" i="1" s="1"/>
  <c r="L121" i="1"/>
  <c r="M121" i="1" s="1"/>
  <c r="E35" i="1"/>
  <c r="G35" i="1" s="1"/>
  <c r="E123" i="1"/>
  <c r="G123" i="1" s="1"/>
  <c r="X62" i="1"/>
  <c r="Y62" i="1" s="1"/>
  <c r="AD97" i="1"/>
  <c r="AE97" i="1" s="1"/>
  <c r="L57" i="1"/>
  <c r="M57" i="1" s="1"/>
  <c r="L71" i="1"/>
  <c r="M71" i="1" s="1"/>
  <c r="I106" i="1"/>
  <c r="J106" i="1" s="1"/>
  <c r="L70" i="1"/>
  <c r="L119" i="1"/>
  <c r="M119" i="1" s="1"/>
  <c r="O34" i="1"/>
  <c r="P34" i="1" s="1"/>
  <c r="X125" i="1"/>
  <c r="Y125" i="1" s="1"/>
  <c r="AP16" i="1"/>
  <c r="AQ16" i="1" s="1"/>
  <c r="AA126" i="1"/>
  <c r="AB126" i="1" s="1"/>
  <c r="I104" i="1"/>
  <c r="J104" i="1" s="1"/>
  <c r="X144" i="1"/>
  <c r="Y144" i="1" s="1"/>
  <c r="AG122" i="1"/>
  <c r="AH122" i="1" s="1"/>
  <c r="AP52" i="1"/>
  <c r="AQ52" i="1" s="1"/>
  <c r="O108" i="1"/>
  <c r="P108" i="1" s="1"/>
  <c r="AG62" i="1"/>
  <c r="AH62" i="1" s="1"/>
  <c r="AM52" i="1"/>
  <c r="AN52" i="1" s="1"/>
  <c r="AJ19" i="1"/>
  <c r="AK19" i="1" s="1"/>
  <c r="E16" i="1"/>
  <c r="G16" i="1" s="1"/>
  <c r="E59" i="1"/>
  <c r="G59" i="1" s="1"/>
  <c r="E93" i="1"/>
  <c r="G93" i="1" s="1"/>
  <c r="E136" i="1"/>
  <c r="G136" i="1" s="1"/>
  <c r="X46" i="1"/>
  <c r="Y46" i="1" s="1"/>
  <c r="I51" i="1"/>
  <c r="J51" i="1" s="1"/>
  <c r="X98" i="1"/>
  <c r="Y98" i="1" s="1"/>
  <c r="AM26" i="1"/>
  <c r="AN26" i="1" s="1"/>
  <c r="O88" i="1"/>
  <c r="P88" i="1" s="1"/>
  <c r="AG82" i="1"/>
  <c r="AH82" i="1" s="1"/>
  <c r="AJ80" i="1"/>
  <c r="AK80" i="1" s="1"/>
  <c r="X94" i="1"/>
  <c r="Y94" i="1" s="1"/>
  <c r="AP105" i="1"/>
  <c r="AQ105" i="1" s="1"/>
  <c r="R88" i="1"/>
  <c r="S88" i="1" s="1"/>
  <c r="AG151" i="1"/>
  <c r="AH151" i="1" s="1"/>
  <c r="U148" i="1"/>
  <c r="AM30" i="1"/>
  <c r="AN30" i="1" s="1"/>
  <c r="AA22" i="1"/>
  <c r="AB22" i="1" s="1"/>
  <c r="X85" i="1"/>
  <c r="Y85" i="1" s="1"/>
  <c r="E48" i="1"/>
  <c r="G48" i="1" s="1"/>
  <c r="E121" i="1"/>
  <c r="G121" i="1" s="1"/>
  <c r="AD98" i="1"/>
  <c r="AE98" i="1" s="1"/>
  <c r="AG89" i="1"/>
  <c r="AH89" i="1" s="1"/>
  <c r="AJ77" i="1"/>
  <c r="AK77" i="1" s="1"/>
  <c r="AJ98" i="1"/>
  <c r="AK98" i="1" s="1"/>
  <c r="O57" i="1"/>
  <c r="P57" i="1" s="1"/>
  <c r="AJ94" i="1"/>
  <c r="AK94" i="1" s="1"/>
  <c r="AD16" i="1"/>
  <c r="AE16" i="1" s="1"/>
  <c r="AP90" i="1"/>
  <c r="AQ90" i="1" s="1"/>
  <c r="R55" i="1"/>
  <c r="S55" i="1" s="1"/>
  <c r="I79" i="1"/>
  <c r="J79" i="1" s="1"/>
  <c r="L82" i="1"/>
  <c r="M82" i="1" s="1"/>
  <c r="I90" i="1"/>
  <c r="J90" i="1" s="1"/>
  <c r="X90" i="1"/>
  <c r="Y90" i="1" s="1"/>
  <c r="O94" i="1"/>
  <c r="P94" i="1" s="1"/>
  <c r="U151" i="1"/>
  <c r="O116" i="1"/>
  <c r="P116" i="1" s="1"/>
  <c r="AP46" i="1"/>
  <c r="AQ46" i="1" s="1"/>
  <c r="AM109" i="1"/>
  <c r="AN109" i="1" s="1"/>
  <c r="AJ28" i="1"/>
  <c r="AK28" i="1" s="1"/>
  <c r="AA26" i="1"/>
  <c r="AB26" i="1" s="1"/>
  <c r="AJ59" i="1"/>
  <c r="AK59" i="1" s="1"/>
  <c r="L97" i="1"/>
  <c r="M97" i="1" s="1"/>
  <c r="R148" i="1"/>
  <c r="AJ148" i="1"/>
  <c r="AK148" i="1" s="1"/>
  <c r="AJ26" i="1"/>
  <c r="AK26" i="1" s="1"/>
  <c r="I14" i="1"/>
  <c r="J14" i="1" s="1"/>
  <c r="AG103" i="1"/>
  <c r="AH103" i="1" s="1"/>
  <c r="AJ124" i="1"/>
  <c r="AK124" i="1" s="1"/>
  <c r="U128" i="1"/>
  <c r="V128" i="1" s="1"/>
  <c r="T129" i="1"/>
  <c r="AP84" i="1"/>
  <c r="AQ84" i="1" s="1"/>
  <c r="E24" i="1"/>
  <c r="F24" i="1" s="1"/>
  <c r="I124" i="1"/>
  <c r="J124" i="1" s="1"/>
  <c r="I116" i="1"/>
  <c r="J116" i="1" s="1"/>
  <c r="I36" i="1"/>
  <c r="J36" i="1" s="1"/>
  <c r="AD32" i="1"/>
  <c r="AE32" i="1" s="1"/>
  <c r="R134" i="1"/>
  <c r="I151" i="1"/>
  <c r="X17" i="1"/>
  <c r="Y17" i="1" s="1"/>
  <c r="R135" i="1"/>
  <c r="S135" i="1" s="1"/>
  <c r="L38" i="1"/>
  <c r="M38" i="1" s="1"/>
  <c r="U139" i="1"/>
  <c r="V139" i="1" s="1"/>
  <c r="AG148" i="1"/>
  <c r="AJ123" i="1"/>
  <c r="AK123" i="1" s="1"/>
  <c r="X109" i="1"/>
  <c r="Y109" i="1" s="1"/>
  <c r="AP80" i="1"/>
  <c r="AQ80" i="1" s="1"/>
  <c r="AJ95" i="1"/>
  <c r="AK95" i="1" s="1"/>
  <c r="T23" i="1"/>
  <c r="X141" i="1"/>
  <c r="Y141" i="1" s="1"/>
  <c r="U85" i="1"/>
  <c r="V85" i="1" s="1"/>
  <c r="AM54" i="1"/>
  <c r="AN54" i="1" s="1"/>
  <c r="X45" i="1"/>
  <c r="Y45" i="1" s="1"/>
  <c r="AD19" i="1"/>
  <c r="AE19" i="1" s="1"/>
  <c r="AP13" i="1"/>
  <c r="AQ13" i="1" s="1"/>
  <c r="AP103" i="1"/>
  <c r="AQ103" i="1" s="1"/>
  <c r="AD143" i="1"/>
  <c r="AE143" i="1" s="1"/>
  <c r="AD60" i="1"/>
  <c r="AE60" i="1" s="1"/>
  <c r="R56" i="1"/>
  <c r="S56" i="1" s="1"/>
  <c r="O49" i="1"/>
  <c r="P49" i="1" s="1"/>
  <c r="U12" i="1"/>
  <c r="V12" i="1" s="1"/>
  <c r="AJ63" i="1"/>
  <c r="AK63" i="1" s="1"/>
  <c r="AD95" i="1"/>
  <c r="AE95" i="1" s="1"/>
  <c r="L31" i="1"/>
  <c r="M31" i="1" s="1"/>
  <c r="L54" i="1"/>
  <c r="M54" i="1" s="1"/>
  <c r="AP45" i="1"/>
  <c r="AQ45" i="1" s="1"/>
  <c r="AJ20" i="1"/>
  <c r="AK20" i="1" s="1"/>
  <c r="AJ12" i="1"/>
  <c r="AK12" i="1" s="1"/>
  <c r="O90" i="1"/>
  <c r="P90" i="1" s="1"/>
  <c r="AP81" i="1"/>
  <c r="AQ81" i="1" s="1"/>
  <c r="X32" i="1"/>
  <c r="Y32" i="1" s="1"/>
  <c r="L84" i="1"/>
  <c r="M84" i="1" s="1"/>
  <c r="AA134" i="1"/>
  <c r="AB134" i="1" s="1"/>
  <c r="L90" i="1"/>
  <c r="M90" i="1" s="1"/>
  <c r="AA50" i="1"/>
  <c r="AB50" i="1" s="1"/>
  <c r="AJ75" i="1"/>
  <c r="AK75" i="1" s="1"/>
  <c r="AD44" i="1"/>
  <c r="AE44" i="1" s="1"/>
  <c r="AD34" i="1"/>
  <c r="AE34" i="1" s="1"/>
  <c r="R31" i="1"/>
  <c r="S31" i="1" s="1"/>
  <c r="L37" i="1"/>
  <c r="M37" i="1" s="1"/>
  <c r="AA34" i="1"/>
  <c r="AB34" i="1" s="1"/>
  <c r="I22" i="1"/>
  <c r="J22" i="1" s="1"/>
  <c r="I71" i="1"/>
  <c r="J71" i="1" s="1"/>
  <c r="X34" i="1"/>
  <c r="Y34" i="1" s="1"/>
  <c r="R15" i="1"/>
  <c r="S15" i="1" s="1"/>
  <c r="U13" i="1"/>
  <c r="V13" i="1" s="1"/>
  <c r="I44" i="1"/>
  <c r="J44" i="1" s="1"/>
  <c r="I37" i="1"/>
  <c r="J37" i="1" s="1"/>
  <c r="AG98" i="1"/>
  <c r="AH98" i="1" s="1"/>
  <c r="L47" i="1"/>
  <c r="M47" i="1" s="1"/>
  <c r="AP57" i="1"/>
  <c r="AQ57" i="1" s="1"/>
  <c r="L44" i="1"/>
  <c r="M44" i="1" s="1"/>
  <c r="U50" i="1"/>
  <c r="V50" i="1" s="1"/>
  <c r="AG77" i="1"/>
  <c r="AH77" i="1" s="1"/>
  <c r="I73" i="1"/>
  <c r="J73" i="1" s="1"/>
  <c r="I15" i="1"/>
  <c r="J15" i="1" s="1"/>
  <c r="U17" i="1"/>
  <c r="V17" i="1" s="1"/>
  <c r="X27" i="1"/>
  <c r="Y27" i="1" s="1"/>
  <c r="R97" i="1"/>
  <c r="S97" i="1" s="1"/>
  <c r="R16" i="1"/>
  <c r="S16" i="1" s="1"/>
  <c r="L16" i="1"/>
  <c r="M16" i="1" s="1"/>
  <c r="AP12" i="1"/>
  <c r="AQ12" i="1" s="1"/>
  <c r="AA21" i="1"/>
  <c r="AB21" i="1" s="1"/>
  <c r="L15" i="1"/>
  <c r="M15" i="1" s="1"/>
  <c r="I95" i="1"/>
  <c r="J95" i="1" s="1"/>
  <c r="AA72" i="1"/>
  <c r="AB72" i="1" s="1"/>
  <c r="AG60" i="1"/>
  <c r="AH60" i="1" s="1"/>
  <c r="AA45" i="1"/>
  <c r="AB45" i="1" s="1"/>
  <c r="AD28" i="1"/>
  <c r="AE28" i="1" s="1"/>
  <c r="L14" i="1"/>
  <c r="M14" i="1" s="1"/>
  <c r="U39" i="1"/>
  <c r="V39" i="1" s="1"/>
  <c r="AP73" i="1"/>
  <c r="AQ73" i="1" s="1"/>
  <c r="O26" i="1"/>
  <c r="P26" i="1" s="1"/>
  <c r="AJ38" i="1"/>
  <c r="AK38" i="1" s="1"/>
  <c r="AM13" i="1"/>
  <c r="AN13" i="1" s="1"/>
  <c r="U16" i="1"/>
  <c r="V16" i="1" s="1"/>
  <c r="R100" i="1"/>
  <c r="S100" i="1" s="1"/>
  <c r="X18" i="1"/>
  <c r="Y18" i="1" s="1"/>
  <c r="X72" i="1"/>
  <c r="Y72" i="1" s="1"/>
  <c r="U76" i="1"/>
  <c r="V76" i="1" s="1"/>
  <c r="AM31" i="1"/>
  <c r="AN31" i="1" s="1"/>
  <c r="I24" i="1"/>
  <c r="J24" i="1" s="1"/>
  <c r="AG80" i="1"/>
  <c r="AH80" i="1" s="1"/>
  <c r="AP35" i="1"/>
  <c r="AQ35" i="1" s="1"/>
  <c r="R136" i="1"/>
  <c r="S136" i="1" s="1"/>
  <c r="L26" i="1"/>
  <c r="M26" i="1" s="1"/>
  <c r="AP24" i="1"/>
  <c r="AQ24" i="1" s="1"/>
  <c r="X119" i="1"/>
  <c r="Y119" i="1" s="1"/>
  <c r="O60" i="1"/>
  <c r="P60" i="1" s="1"/>
  <c r="AA27" i="1"/>
  <c r="AB27" i="1" s="1"/>
  <c r="X99" i="1"/>
  <c r="Y99" i="1" s="1"/>
  <c r="AG55" i="1"/>
  <c r="AH55" i="1" s="1"/>
  <c r="U136" i="1"/>
  <c r="V136" i="1" s="1"/>
  <c r="AP21" i="1"/>
  <c r="AQ21" i="1" s="1"/>
  <c r="U52" i="1"/>
  <c r="V52" i="1" s="1"/>
  <c r="AA80" i="1"/>
  <c r="AB80" i="1" s="1"/>
  <c r="U57" i="1"/>
  <c r="V57" i="1" s="1"/>
  <c r="AM38" i="1"/>
  <c r="AN38" i="1" s="1"/>
  <c r="AA18" i="1"/>
  <c r="AB18" i="1" s="1"/>
  <c r="AP83" i="1"/>
  <c r="AQ83" i="1" s="1"/>
  <c r="I25" i="1"/>
  <c r="J25" i="1" s="1"/>
  <c r="AD27" i="1"/>
  <c r="AE27" i="1" s="1"/>
  <c r="AJ111" i="1"/>
  <c r="AK111" i="1" s="1"/>
  <c r="I28" i="1"/>
  <c r="J28" i="1" s="1"/>
  <c r="O61" i="1"/>
  <c r="P61" i="1" s="1"/>
  <c r="AD46" i="1"/>
  <c r="AE46" i="1" s="1"/>
  <c r="AD24" i="1"/>
  <c r="AE24" i="1" s="1"/>
  <c r="AJ52" i="1"/>
  <c r="AK52" i="1" s="1"/>
  <c r="U54" i="1"/>
  <c r="V54" i="1" s="1"/>
  <c r="AP104" i="1"/>
  <c r="AQ104" i="1" s="1"/>
  <c r="AP87" i="1"/>
  <c r="R81" i="1"/>
  <c r="S81" i="1" s="1"/>
  <c r="AP59" i="1"/>
  <c r="AQ59" i="1" s="1"/>
  <c r="X56" i="1"/>
  <c r="Y56" i="1" s="1"/>
  <c r="AJ116" i="1"/>
  <c r="AK116" i="1" s="1"/>
  <c r="R113" i="1"/>
  <c r="S113" i="1" s="1"/>
  <c r="O140" i="1"/>
  <c r="P140" i="1" s="1"/>
  <c r="I74" i="1"/>
  <c r="J74" i="1" s="1"/>
  <c r="AJ27" i="1"/>
  <c r="AK27" i="1" s="1"/>
  <c r="L78" i="1"/>
  <c r="M78" i="1" s="1"/>
  <c r="L18" i="1"/>
  <c r="M18" i="1" s="1"/>
  <c r="AG27" i="1"/>
  <c r="AH27" i="1" s="1"/>
  <c r="AD47" i="1"/>
  <c r="AE47" i="1" s="1"/>
  <c r="AA105" i="1"/>
  <c r="AB105" i="1" s="1"/>
  <c r="AP148" i="1"/>
  <c r="AQ148" i="1" s="1"/>
  <c r="AA116" i="1"/>
  <c r="AB116" i="1" s="1"/>
  <c r="R144" i="1"/>
  <c r="S144" i="1" s="1"/>
  <c r="AD115" i="1"/>
  <c r="AJ112" i="1"/>
  <c r="AK112" i="1" s="1"/>
  <c r="AA89" i="1"/>
  <c r="AB89" i="1" s="1"/>
  <c r="AJ127" i="1"/>
  <c r="AK127" i="1" s="1"/>
  <c r="U134" i="1"/>
  <c r="AM101" i="1"/>
  <c r="AN101" i="1" s="1"/>
  <c r="AM116" i="1"/>
  <c r="AN116" i="1" s="1"/>
  <c r="AG95" i="1"/>
  <c r="AH95" i="1" s="1"/>
  <c r="AM71" i="1"/>
  <c r="AN71" i="1" s="1"/>
  <c r="AA44" i="1"/>
  <c r="AB44" i="1" s="1"/>
  <c r="U117" i="1"/>
  <c r="V117" i="1" s="1"/>
  <c r="U119" i="1"/>
  <c r="V119" i="1" s="1"/>
  <c r="X82" i="1"/>
  <c r="Y82" i="1" s="1"/>
  <c r="I121" i="1"/>
  <c r="J121" i="1" s="1"/>
  <c r="AJ93" i="1"/>
  <c r="AK93" i="1" s="1"/>
  <c r="AA136" i="1"/>
  <c r="AB136" i="1" s="1"/>
  <c r="R111" i="1"/>
  <c r="S111" i="1" s="1"/>
  <c r="R91" i="1"/>
  <c r="S91" i="1" s="1"/>
  <c r="AP94" i="1"/>
  <c r="AQ94" i="1" s="1"/>
  <c r="X61" i="1"/>
  <c r="Y61" i="1" s="1"/>
  <c r="AM34" i="1"/>
  <c r="AN34" i="1" s="1"/>
  <c r="AA101" i="1"/>
  <c r="AB101" i="1" s="1"/>
  <c r="X100" i="1"/>
  <c r="Y100" i="1" s="1"/>
  <c r="R80" i="1"/>
  <c r="S80" i="1" s="1"/>
  <c r="AM48" i="1"/>
  <c r="AN48" i="1" s="1"/>
  <c r="R21" i="1"/>
  <c r="S21" i="1" s="1"/>
  <c r="R110" i="1"/>
  <c r="S110" i="1" s="1"/>
  <c r="X104" i="1"/>
  <c r="Y104" i="1" s="1"/>
  <c r="R74" i="1"/>
  <c r="S74" i="1" s="1"/>
  <c r="U48" i="1"/>
  <c r="V48" i="1" s="1"/>
  <c r="L29" i="1"/>
  <c r="M29" i="1" s="1"/>
  <c r="AA125" i="1"/>
  <c r="AB125" i="1" s="1"/>
  <c r="AM120" i="1"/>
  <c r="AN120" i="1" s="1"/>
  <c r="AM84" i="1"/>
  <c r="AN84" i="1" s="1"/>
  <c r="I139" i="1"/>
  <c r="J139" i="1" s="1"/>
  <c r="R116" i="1"/>
  <c r="S116" i="1" s="1"/>
  <c r="AA88" i="1"/>
  <c r="AB88" i="1" s="1"/>
  <c r="X37" i="1"/>
  <c r="Y37" i="1" s="1"/>
  <c r="O12" i="1"/>
  <c r="AJ139" i="1"/>
  <c r="AM73" i="1"/>
  <c r="AN73" i="1" s="1"/>
  <c r="AJ25" i="1"/>
  <c r="AK25" i="1" s="1"/>
  <c r="AJ85" i="1"/>
  <c r="AK85" i="1" s="1"/>
  <c r="AJ45" i="1"/>
  <c r="AK45" i="1" s="1"/>
  <c r="AD12" i="1"/>
  <c r="I117" i="1"/>
  <c r="J117" i="1" s="1"/>
  <c r="U74" i="1"/>
  <c r="V74" i="1" s="1"/>
  <c r="AD17" i="1"/>
  <c r="AE17" i="1" s="1"/>
  <c r="AM51" i="1"/>
  <c r="AN51" i="1" s="1"/>
  <c r="AG28" i="1"/>
  <c r="AH28" i="1" s="1"/>
  <c r="O120" i="1"/>
  <c r="P120" i="1" s="1"/>
  <c r="R36" i="1"/>
  <c r="S36" i="1" s="1"/>
  <c r="L63" i="1"/>
  <c r="M63" i="1" s="1"/>
  <c r="O63" i="1"/>
  <c r="P63" i="1" s="1"/>
  <c r="I30" i="1"/>
  <c r="J30" i="1" s="1"/>
  <c r="AA32" i="1"/>
  <c r="AB32" i="1" s="1"/>
  <c r="O58" i="1"/>
  <c r="P58" i="1" s="1"/>
  <c r="U70" i="1"/>
  <c r="V70" i="1" s="1"/>
  <c r="O75" i="1"/>
  <c r="P75" i="1" s="1"/>
  <c r="I46" i="1"/>
  <c r="J46" i="1" s="1"/>
  <c r="AP50" i="1"/>
  <c r="AQ50" i="1" s="1"/>
  <c r="AA76" i="1"/>
  <c r="AB76" i="1" s="1"/>
  <c r="X13" i="1"/>
  <c r="Y13" i="1" s="1"/>
  <c r="AP71" i="1"/>
  <c r="AQ71" i="1" s="1"/>
  <c r="U78" i="1"/>
  <c r="V78" i="1" s="1"/>
  <c r="AA17" i="1"/>
  <c r="AB17" i="1" s="1"/>
  <c r="AA25" i="1"/>
  <c r="AB25" i="1" s="1"/>
  <c r="O29" i="1"/>
  <c r="P29" i="1" s="1"/>
  <c r="L28" i="1"/>
  <c r="M28" i="1" s="1"/>
  <c r="R52" i="1"/>
  <c r="S52" i="1" s="1"/>
  <c r="U118" i="1"/>
  <c r="V118" i="1" s="1"/>
  <c r="AG108" i="1"/>
  <c r="AH108" i="1" s="1"/>
  <c r="AD72" i="1"/>
  <c r="AE72" i="1" s="1"/>
  <c r="L125" i="1"/>
  <c r="M125" i="1" s="1"/>
  <c r="AD92" i="1"/>
  <c r="AE92" i="1" s="1"/>
  <c r="I77" i="1"/>
  <c r="J77" i="1" s="1"/>
  <c r="AD78" i="1"/>
  <c r="AE78" i="1" s="1"/>
  <c r="AD110" i="1"/>
  <c r="AE110" i="1" s="1"/>
  <c r="X26" i="1"/>
  <c r="Y26" i="1" s="1"/>
  <c r="R106" i="1"/>
  <c r="S106" i="1" s="1"/>
  <c r="I13" i="1"/>
  <c r="J13" i="1" s="1"/>
  <c r="AM62" i="1"/>
  <c r="AN62" i="1" s="1"/>
  <c r="AP51" i="1"/>
  <c r="AQ51" i="1" s="1"/>
  <c r="AD126" i="1"/>
  <c r="AE126" i="1" s="1"/>
  <c r="AM108" i="1"/>
  <c r="AN108" i="1" s="1"/>
  <c r="AG83" i="1"/>
  <c r="AH83" i="1" s="1"/>
  <c r="R96" i="1"/>
  <c r="S96" i="1" s="1"/>
  <c r="L142" i="1"/>
  <c r="M142" i="1" s="1"/>
  <c r="AM117" i="1"/>
  <c r="AN117" i="1" s="1"/>
  <c r="AP142" i="1"/>
  <c r="AQ142" i="1" s="1"/>
  <c r="AA112" i="1"/>
  <c r="AB112" i="1" s="1"/>
  <c r="I109" i="1"/>
  <c r="J109" i="1" s="1"/>
  <c r="O151" i="1"/>
  <c r="I119" i="1"/>
  <c r="J119" i="1" s="1"/>
  <c r="AA119" i="1"/>
  <c r="AB119" i="1" s="1"/>
  <c r="X135" i="1"/>
  <c r="Y135" i="1" s="1"/>
  <c r="O106" i="1"/>
  <c r="P106" i="1" s="1"/>
  <c r="O81" i="1"/>
  <c r="P81" i="1" s="1"/>
  <c r="AA52" i="1"/>
  <c r="AB52" i="1" s="1"/>
  <c r="X136" i="1"/>
  <c r="Y136" i="1" s="1"/>
  <c r="O134" i="1"/>
  <c r="P134" i="1" s="1"/>
  <c r="I88" i="1"/>
  <c r="J88" i="1" s="1"/>
  <c r="AM122" i="1"/>
  <c r="AN122" i="1" s="1"/>
  <c r="O95" i="1"/>
  <c r="P95" i="1" s="1"/>
  <c r="L134" i="1"/>
  <c r="AD109" i="1"/>
  <c r="AE109" i="1" s="1"/>
  <c r="U135" i="1"/>
  <c r="V135" i="1" s="1"/>
  <c r="AM85" i="1"/>
  <c r="AN85" i="1" s="1"/>
  <c r="AP54" i="1"/>
  <c r="R25" i="1"/>
  <c r="S25" i="1" s="1"/>
  <c r="AD128" i="1"/>
  <c r="AE128" i="1" s="1"/>
  <c r="U88" i="1"/>
  <c r="V88" i="1" s="1"/>
  <c r="AA59" i="1"/>
  <c r="AB59" i="1" s="1"/>
  <c r="AJ29" i="1"/>
  <c r="AK29" i="1" s="1"/>
  <c r="AM123" i="1"/>
  <c r="AN123" i="1" s="1"/>
  <c r="O109" i="1"/>
  <c r="P109" i="1" s="1"/>
  <c r="AJ76" i="1"/>
  <c r="AK76" i="1" s="1"/>
  <c r="X50" i="1"/>
  <c r="Y50" i="1" s="1"/>
  <c r="AD29" i="1"/>
  <c r="AE29" i="1" s="1"/>
  <c r="AM124" i="1"/>
  <c r="AN124" i="1" s="1"/>
  <c r="X108" i="1"/>
  <c r="Y108" i="1" s="1"/>
  <c r="U79" i="1"/>
  <c r="V79" i="1" s="1"/>
  <c r="I123" i="1"/>
  <c r="J123" i="1" s="1"/>
  <c r="L106" i="1"/>
  <c r="M106" i="1" s="1"/>
  <c r="AP61" i="1"/>
  <c r="AQ61" i="1" s="1"/>
  <c r="AM25" i="1"/>
  <c r="AN25" i="1" s="1"/>
  <c r="U27" i="1"/>
  <c r="V27" i="1" s="1"/>
  <c r="AA92" i="1"/>
  <c r="AB92" i="1" s="1"/>
  <c r="U46" i="1"/>
  <c r="V46" i="1" s="1"/>
  <c r="AP93" i="1"/>
  <c r="AQ93" i="1" s="1"/>
  <c r="X57" i="1"/>
  <c r="Y57" i="1" s="1"/>
  <c r="O19" i="1"/>
  <c r="P19" i="1" s="1"/>
  <c r="AG123" i="1"/>
  <c r="AH123" i="1" s="1"/>
  <c r="I82" i="1"/>
  <c r="J82" i="1" s="1"/>
  <c r="L22" i="1"/>
  <c r="M22" i="1" s="1"/>
  <c r="AM60" i="1"/>
  <c r="AN60" i="1" s="1"/>
  <c r="AJ32" i="1"/>
  <c r="AK32" i="1" s="1"/>
  <c r="AD20" i="1"/>
  <c r="AE20" i="1" s="1"/>
  <c r="AP30" i="1"/>
  <c r="AQ30" i="1" s="1"/>
  <c r="R76" i="1"/>
  <c r="S76" i="1" s="1"/>
  <c r="U34" i="1"/>
  <c r="V34" i="1" s="1"/>
  <c r="AJ81" i="1"/>
  <c r="AK81" i="1" s="1"/>
  <c r="O56" i="1"/>
  <c r="P56" i="1" s="1"/>
  <c r="R19" i="1"/>
  <c r="S19" i="1" s="1"/>
  <c r="AD82" i="1"/>
  <c r="AE82" i="1" s="1"/>
  <c r="X59" i="1"/>
  <c r="Y59" i="1" s="1"/>
  <c r="U109" i="1"/>
  <c r="V109" i="1" s="1"/>
  <c r="AA85" i="1"/>
  <c r="AB85" i="1" s="1"/>
  <c r="R71" i="1"/>
  <c r="S71" i="1" s="1"/>
  <c r="U115" i="1"/>
  <c r="V115" i="1" s="1"/>
  <c r="AA20" i="1"/>
  <c r="AB20" i="1" s="1"/>
  <c r="AJ30" i="1"/>
  <c r="AK30" i="1" s="1"/>
  <c r="U127" i="1"/>
  <c r="V127" i="1" s="1"/>
  <c r="R14" i="1"/>
  <c r="S14" i="1" s="1"/>
  <c r="AM72" i="1"/>
  <c r="AN72" i="1" s="1"/>
  <c r="O55" i="1"/>
  <c r="P55" i="1" s="1"/>
  <c r="I141" i="1"/>
  <c r="J141" i="1" s="1"/>
  <c r="AA123" i="1"/>
  <c r="AB123" i="1" s="1"/>
  <c r="I38" i="1"/>
  <c r="J38" i="1" s="1"/>
  <c r="AP96" i="1"/>
  <c r="AQ96" i="1" s="1"/>
  <c r="I152" i="1"/>
  <c r="I153" i="1" s="1"/>
  <c r="O115" i="1"/>
  <c r="P115" i="1" s="1"/>
  <c r="AD141" i="1"/>
  <c r="AE141" i="1" s="1"/>
  <c r="I142" i="1"/>
  <c r="J142" i="1" s="1"/>
  <c r="AG106" i="1"/>
  <c r="AH106" i="1" s="1"/>
  <c r="AD149" i="1"/>
  <c r="AE149" i="1" s="1"/>
  <c r="L117" i="1"/>
  <c r="M117" i="1" s="1"/>
  <c r="AP117" i="1"/>
  <c r="AQ117" i="1" s="1"/>
  <c r="X128" i="1"/>
  <c r="Y128" i="1" s="1"/>
  <c r="AG105" i="1"/>
  <c r="AH105" i="1" s="1"/>
  <c r="AM79" i="1"/>
  <c r="AN79" i="1" s="1"/>
  <c r="O51" i="1"/>
  <c r="P51" i="1" s="1"/>
  <c r="R125" i="1"/>
  <c r="S125" i="1" s="1"/>
  <c r="AG124" i="1"/>
  <c r="AH124" i="1" s="1"/>
  <c r="L87" i="1"/>
  <c r="M87" i="1" s="1"/>
  <c r="AG121" i="1"/>
  <c r="AH121" i="1" s="1"/>
  <c r="R93" i="1"/>
  <c r="S93" i="1" s="1"/>
  <c r="AG128" i="1"/>
  <c r="AH128" i="1" s="1"/>
  <c r="AP106" i="1"/>
  <c r="AQ106" i="1" s="1"/>
  <c r="AD134" i="1"/>
  <c r="AE134" i="1" s="1"/>
  <c r="U84" i="1"/>
  <c r="V84" i="1" s="1"/>
  <c r="AD52" i="1"/>
  <c r="AE52" i="1" s="1"/>
  <c r="O22" i="1"/>
  <c r="P22" i="1" s="1"/>
  <c r="AP125" i="1"/>
  <c r="AQ125" i="1" s="1"/>
  <c r="AM87" i="1"/>
  <c r="AN87" i="1" s="1"/>
  <c r="AD58" i="1"/>
  <c r="AE58" i="1" s="1"/>
  <c r="U28" i="1"/>
  <c r="V28" i="1" s="1"/>
  <c r="L123" i="1"/>
  <c r="M123" i="1" s="1"/>
  <c r="AM107" i="1"/>
  <c r="AN107" i="1" s="1"/>
  <c r="R75" i="1"/>
  <c r="S75" i="1" s="1"/>
  <c r="AP49" i="1"/>
  <c r="AQ49" i="1" s="1"/>
  <c r="O27" i="1"/>
  <c r="P27" i="1" s="1"/>
  <c r="R123" i="1"/>
  <c r="S123" i="1" s="1"/>
  <c r="U106" i="1"/>
  <c r="V106" i="1" s="1"/>
  <c r="O76" i="1"/>
  <c r="P76" i="1" s="1"/>
  <c r="U121" i="1"/>
  <c r="V121" i="1" s="1"/>
  <c r="AA104" i="1"/>
  <c r="AB104" i="1" s="1"/>
  <c r="U61" i="1"/>
  <c r="V61" i="1" s="1"/>
  <c r="U25" i="1"/>
  <c r="V25" i="1" s="1"/>
  <c r="AG21" i="1"/>
  <c r="AH21" i="1" s="1"/>
  <c r="I91" i="1"/>
  <c r="J91" i="1" s="1"/>
  <c r="R45" i="1"/>
  <c r="S45" i="1" s="1"/>
  <c r="AG91" i="1"/>
  <c r="AH91" i="1" s="1"/>
  <c r="AM56" i="1"/>
  <c r="AN56" i="1" s="1"/>
  <c r="AG18" i="1"/>
  <c r="AH18" i="1" s="1"/>
  <c r="I122" i="1"/>
  <c r="J122" i="1" s="1"/>
  <c r="L72" i="1"/>
  <c r="M72" i="1" s="1"/>
  <c r="AG22" i="1"/>
  <c r="AH22" i="1" s="1"/>
  <c r="AJ62" i="1"/>
  <c r="AK62" i="1" s="1"/>
  <c r="L34" i="1"/>
  <c r="M34" i="1" s="1"/>
  <c r="AJ21" i="1"/>
  <c r="AK21" i="1" s="1"/>
  <c r="R32" i="1"/>
  <c r="S32" i="1" s="1"/>
  <c r="AP76" i="1"/>
  <c r="AQ76" i="1" s="1"/>
  <c r="AD87" i="1"/>
  <c r="E141" i="1"/>
  <c r="G141" i="1" s="1"/>
  <c r="E126" i="1"/>
  <c r="G126" i="1" s="1"/>
  <c r="E118" i="1"/>
  <c r="G118" i="1" s="1"/>
  <c r="E109" i="1"/>
  <c r="G109" i="1" s="1"/>
  <c r="E100" i="1"/>
  <c r="G100" i="1" s="1"/>
  <c r="E92" i="1"/>
  <c r="G92" i="1" s="1"/>
  <c r="E83" i="1"/>
  <c r="G83" i="1" s="1"/>
  <c r="E75" i="1"/>
  <c r="G75" i="1" s="1"/>
  <c r="E61" i="1"/>
  <c r="G61" i="1" s="1"/>
  <c r="E52" i="1"/>
  <c r="G52" i="1" s="1"/>
  <c r="E44" i="1"/>
  <c r="G44" i="1" s="1"/>
  <c r="E31" i="1"/>
  <c r="G31" i="1" s="1"/>
  <c r="E22" i="1"/>
  <c r="G22" i="1" s="1"/>
  <c r="E14" i="1"/>
  <c r="G14" i="1" s="1"/>
  <c r="L77" i="1"/>
  <c r="M77" i="1" s="1"/>
  <c r="AD104" i="1"/>
  <c r="AE104" i="1" s="1"/>
  <c r="X49" i="1"/>
  <c r="Y49" i="1" s="1"/>
  <c r="U110" i="1"/>
  <c r="V110" i="1" s="1"/>
  <c r="AD80" i="1"/>
  <c r="AE80" i="1" s="1"/>
  <c r="R83" i="1"/>
  <c r="S83" i="1" s="1"/>
  <c r="R59" i="1"/>
  <c r="S59" i="1" s="1"/>
  <c r="X12" i="1"/>
  <c r="Y12" i="1" s="1"/>
  <c r="AA13" i="1"/>
  <c r="AB13" i="1" s="1"/>
  <c r="AJ61" i="1"/>
  <c r="AK61" i="1" s="1"/>
  <c r="AD57" i="1"/>
  <c r="AE57" i="1" s="1"/>
  <c r="U103" i="1"/>
  <c r="V103" i="1" s="1"/>
  <c r="O84" i="1"/>
  <c r="P84" i="1" s="1"/>
  <c r="L56" i="1"/>
  <c r="M56" i="1" s="1"/>
  <c r="O148" i="1"/>
  <c r="P148" i="1" s="1"/>
  <c r="AJ70" i="1"/>
  <c r="AK70" i="1" s="1"/>
  <c r="AP44" i="1"/>
  <c r="AQ44" i="1" s="1"/>
  <c r="I45" i="1"/>
  <c r="J45" i="1" s="1"/>
  <c r="U15" i="1"/>
  <c r="V15" i="1" s="1"/>
  <c r="I83" i="1"/>
  <c r="J83" i="1" s="1"/>
  <c r="AP55" i="1"/>
  <c r="AQ55" i="1" s="1"/>
  <c r="AD13" i="1"/>
  <c r="AE13" i="1" s="1"/>
  <c r="AJ39" i="1"/>
  <c r="AK39" i="1" s="1"/>
  <c r="AM103" i="1"/>
  <c r="AN103" i="1" s="1"/>
  <c r="AM143" i="1"/>
  <c r="AN143" i="1" s="1"/>
  <c r="X113" i="1"/>
  <c r="Y113" i="1" s="1"/>
  <c r="R140" i="1"/>
  <c r="S140" i="1" s="1"/>
  <c r="AA141" i="1"/>
  <c r="AB141" i="1" s="1"/>
  <c r="AJ105" i="1"/>
  <c r="AK105" i="1" s="1"/>
  <c r="L149" i="1"/>
  <c r="M149" i="1" s="1"/>
  <c r="AD116" i="1"/>
  <c r="AE116" i="1" s="1"/>
  <c r="X117" i="1"/>
  <c r="Y117" i="1" s="1"/>
  <c r="AP127" i="1"/>
  <c r="AQ127" i="1" s="1"/>
  <c r="O105" i="1"/>
  <c r="P105" i="1" s="1"/>
  <c r="AA78" i="1"/>
  <c r="AB78" i="1" s="1"/>
  <c r="AM49" i="1"/>
  <c r="AN49" i="1" s="1"/>
  <c r="L122" i="1"/>
  <c r="M122" i="1" s="1"/>
  <c r="X120" i="1"/>
  <c r="Y120" i="1" s="1"/>
  <c r="AJ84" i="1"/>
  <c r="AK84" i="1" s="1"/>
  <c r="AJ118" i="1"/>
  <c r="AK118" i="1" s="1"/>
  <c r="U91" i="1"/>
  <c r="V91" i="1" s="1"/>
  <c r="AA127" i="1"/>
  <c r="AB127" i="1" s="1"/>
  <c r="AM105" i="1"/>
  <c r="AN105" i="1" s="1"/>
  <c r="U125" i="1"/>
  <c r="V125" i="1" s="1"/>
  <c r="AJ79" i="1"/>
  <c r="AK79" i="1" s="1"/>
  <c r="AG51" i="1"/>
  <c r="AH51" i="1" s="1"/>
  <c r="AM20" i="1"/>
  <c r="AN20" i="1" s="1"/>
  <c r="O121" i="1"/>
  <c r="P121" i="1" s="1"/>
  <c r="U87" i="1"/>
  <c r="V87" i="1" s="1"/>
  <c r="AG57" i="1"/>
  <c r="AH57" i="1" s="1"/>
  <c r="I27" i="1"/>
  <c r="J27" i="1" s="1"/>
  <c r="I115" i="1"/>
  <c r="J115" i="1" s="1"/>
  <c r="O107" i="1"/>
  <c r="P107" i="1" s="1"/>
  <c r="AJ74" i="1"/>
  <c r="AK74" i="1" s="1"/>
  <c r="AM47" i="1"/>
  <c r="AN47" i="1" s="1"/>
  <c r="AG26" i="1"/>
  <c r="AH26" i="1" s="1"/>
  <c r="R120" i="1"/>
  <c r="S120" i="1" s="1"/>
  <c r="AD105" i="1"/>
  <c r="AE105" i="1" s="1"/>
  <c r="AG75" i="1"/>
  <c r="AH75" i="1" s="1"/>
  <c r="AM112" i="1"/>
  <c r="AN112" i="1" s="1"/>
  <c r="L99" i="1"/>
  <c r="M99" i="1" s="1"/>
  <c r="L58" i="1"/>
  <c r="M58" i="1" s="1"/>
  <c r="AM24" i="1"/>
  <c r="AN24" i="1" s="1"/>
  <c r="O21" i="1"/>
  <c r="P21" i="1" s="1"/>
  <c r="I84" i="1"/>
  <c r="J84" i="1" s="1"/>
  <c r="AP36" i="1"/>
  <c r="AQ36" i="1" s="1"/>
  <c r="L89" i="1"/>
  <c r="M89" i="1" s="1"/>
  <c r="U56" i="1"/>
  <c r="V56" i="1" s="1"/>
  <c r="L13" i="1"/>
  <c r="M13" i="1" s="1"/>
  <c r="X115" i="1"/>
  <c r="Y115" i="1" s="1"/>
  <c r="AP63" i="1"/>
  <c r="AQ63" i="1" s="1"/>
  <c r="U63" i="1"/>
  <c r="V63" i="1" s="1"/>
  <c r="X35" i="1"/>
  <c r="Y35" i="1" s="1"/>
  <c r="I29" i="1"/>
  <c r="J29" i="1" s="1"/>
  <c r="AM32" i="1"/>
  <c r="AN32" i="1" s="1"/>
  <c r="AM78" i="1"/>
  <c r="AN78" i="1" s="1"/>
  <c r="R39" i="1"/>
  <c r="S39" i="1" s="1"/>
  <c r="AM89" i="1"/>
  <c r="AN89" i="1" s="1"/>
  <c r="X71" i="1"/>
  <c r="Y71" i="1" s="1"/>
  <c r="O99" i="1"/>
  <c r="P99" i="1" s="1"/>
  <c r="AA16" i="1"/>
  <c r="AB16" i="1" s="1"/>
  <c r="X84" i="1"/>
  <c r="Y84" i="1" s="1"/>
  <c r="X149" i="1"/>
  <c r="Y149" i="1" s="1"/>
  <c r="L45" i="1"/>
  <c r="M45" i="1" s="1"/>
  <c r="AP109" i="1"/>
  <c r="AQ109" i="1" s="1"/>
  <c r="AA142" i="1"/>
  <c r="AB142" i="1" s="1"/>
  <c r="L112" i="1"/>
  <c r="M112" i="1" s="1"/>
  <c r="O136" i="1"/>
  <c r="P136" i="1" s="1"/>
  <c r="AD139" i="1"/>
  <c r="AE139" i="1" s="1"/>
  <c r="AD148" i="1"/>
  <c r="AD150" i="1" s="1"/>
  <c r="AE150" i="1" s="1"/>
  <c r="O113" i="1"/>
  <c r="P113" i="1" s="1"/>
  <c r="AM115" i="1"/>
  <c r="U126" i="1"/>
  <c r="V126" i="1" s="1"/>
  <c r="R103" i="1"/>
  <c r="S103" i="1" s="1"/>
  <c r="O77" i="1"/>
  <c r="P77" i="1" s="1"/>
  <c r="AA48" i="1"/>
  <c r="AB48" i="1" s="1"/>
  <c r="AD121" i="1"/>
  <c r="AE121" i="1" s="1"/>
  <c r="AP119" i="1"/>
  <c r="AQ119" i="1" s="1"/>
  <c r="AA81" i="1"/>
  <c r="AB81" i="1" s="1"/>
  <c r="AA117" i="1"/>
  <c r="AB117" i="1" s="1"/>
  <c r="AP88" i="1"/>
  <c r="AQ88" i="1" s="1"/>
  <c r="O125" i="1"/>
  <c r="P125" i="1" s="1"/>
  <c r="R105" i="1"/>
  <c r="S105" i="1" s="1"/>
  <c r="AA122" i="1"/>
  <c r="AB122" i="1" s="1"/>
  <c r="R50" i="1"/>
  <c r="S50" i="1" s="1"/>
  <c r="AA19" i="1"/>
  <c r="AB19" i="1" s="1"/>
  <c r="X116" i="1"/>
  <c r="Y116" i="1" s="1"/>
  <c r="AJ83" i="1"/>
  <c r="AK83" i="1" s="1"/>
  <c r="U55" i="1"/>
  <c r="AG25" i="1"/>
  <c r="AH25" i="1" s="1"/>
  <c r="AA113" i="1"/>
  <c r="AB113" i="1" s="1"/>
  <c r="I105" i="1"/>
  <c r="J105" i="1" s="1"/>
  <c r="AJ73" i="1"/>
  <c r="AK73" i="1" s="1"/>
  <c r="U47" i="1"/>
  <c r="V47" i="1" s="1"/>
  <c r="AJ22" i="1"/>
  <c r="AK22" i="1" s="1"/>
  <c r="AG119" i="1"/>
  <c r="AH119" i="1" s="1"/>
  <c r="U104" i="1"/>
  <c r="V104" i="1" s="1"/>
  <c r="AG72" i="1"/>
  <c r="AH72" i="1" s="1"/>
  <c r="AG107" i="1"/>
  <c r="AH107" i="1" s="1"/>
  <c r="AA98" i="1"/>
  <c r="AB98" i="1" s="1"/>
  <c r="AD51" i="1"/>
  <c r="AE51" i="1" s="1"/>
  <c r="O17" i="1"/>
  <c r="P17" i="1" s="1"/>
  <c r="AG20" i="1"/>
  <c r="AH20" i="1" s="1"/>
  <c r="AD79" i="1"/>
  <c r="AE79" i="1" s="1"/>
  <c r="AG14" i="1"/>
  <c r="AH14" i="1" s="1"/>
  <c r="I49" i="1"/>
  <c r="J49" i="1" s="1"/>
  <c r="O80" i="1"/>
  <c r="P80" i="1" s="1"/>
  <c r="AG112" i="1"/>
  <c r="AH112" i="1" s="1"/>
  <c r="I52" i="1"/>
  <c r="J52" i="1" s="1"/>
  <c r="I34" i="1"/>
  <c r="J34" i="1" s="1"/>
  <c r="U75" i="1"/>
  <c r="V75" i="1" s="1"/>
  <c r="R37" i="1"/>
  <c r="S37" i="1" s="1"/>
  <c r="AA35" i="1"/>
  <c r="AB35" i="1" s="1"/>
  <c r="U80" i="1"/>
  <c r="V80" i="1" s="1"/>
  <c r="AG47" i="1"/>
  <c r="AH47" i="1" s="1"/>
  <c r="AA95" i="1"/>
  <c r="AB95" i="1" s="1"/>
  <c r="E140" i="1"/>
  <c r="G140" i="1" s="1"/>
  <c r="E125" i="1"/>
  <c r="G125" i="1" s="1"/>
  <c r="E117" i="1"/>
  <c r="G117" i="1" s="1"/>
  <c r="E108" i="1"/>
  <c r="G108" i="1" s="1"/>
  <c r="E99" i="1"/>
  <c r="G99" i="1" s="1"/>
  <c r="E74" i="1"/>
  <c r="G74" i="1" s="1"/>
  <c r="E60" i="1"/>
  <c r="G60" i="1" s="1"/>
  <c r="E51" i="1"/>
  <c r="G51" i="1" s="1"/>
  <c r="E39" i="1"/>
  <c r="G39" i="1" s="1"/>
  <c r="E30" i="1"/>
  <c r="G30" i="1" s="1"/>
  <c r="E21" i="1"/>
  <c r="G21" i="1" s="1"/>
  <c r="E13" i="1"/>
  <c r="G13" i="1" s="1"/>
  <c r="X124" i="1"/>
  <c r="Y124" i="1" s="1"/>
  <c r="AG48" i="1"/>
  <c r="AH48" i="1" s="1"/>
  <c r="L27" i="1"/>
  <c r="M27" i="1" s="1"/>
  <c r="AJ110" i="1"/>
  <c r="AK110" i="1" s="1"/>
  <c r="O135" i="1"/>
  <c r="P135" i="1" s="1"/>
  <c r="AD112" i="1"/>
  <c r="AE112" i="1" s="1"/>
  <c r="AM100" i="1"/>
  <c r="AN100" i="1" s="1"/>
  <c r="O47" i="1"/>
  <c r="P47" i="1" s="1"/>
  <c r="AJ113" i="1"/>
  <c r="AK113" i="1" s="1"/>
  <c r="AD124" i="1"/>
  <c r="AE124" i="1" s="1"/>
  <c r="AA118" i="1"/>
  <c r="AB118" i="1" s="1"/>
  <c r="AM77" i="1"/>
  <c r="AN77" i="1" s="1"/>
  <c r="AJ115" i="1"/>
  <c r="X54" i="1"/>
  <c r="I103" i="1"/>
  <c r="R73" i="1"/>
  <c r="S73" i="1" s="1"/>
  <c r="AM63" i="1"/>
  <c r="AN63" i="1" s="1"/>
  <c r="I19" i="1"/>
  <c r="J19" i="1" s="1"/>
  <c r="AA14" i="1"/>
  <c r="AB14" i="1" s="1"/>
  <c r="X21" i="1"/>
  <c r="Y21" i="1" s="1"/>
  <c r="AJ58" i="1"/>
  <c r="AK58" i="1" s="1"/>
  <c r="R47" i="1"/>
  <c r="S47" i="1" s="1"/>
  <c r="L101" i="1"/>
  <c r="M101" i="1" s="1"/>
  <c r="AM82" i="1"/>
  <c r="AN82" i="1" s="1"/>
  <c r="R44" i="1"/>
  <c r="S44" i="1" s="1"/>
  <c r="AJ46" i="1"/>
  <c r="AK46" i="1" s="1"/>
  <c r="X58" i="1"/>
  <c r="Y58" i="1" s="1"/>
  <c r="AM104" i="1"/>
  <c r="AN104" i="1" s="1"/>
  <c r="AJ78" i="1"/>
  <c r="AK78" i="1" s="1"/>
  <c r="X88" i="1"/>
  <c r="Y88" i="1" s="1"/>
  <c r="E82" i="1"/>
  <c r="G82" i="1" s="1"/>
  <c r="AD77" i="1"/>
  <c r="AE77" i="1" s="1"/>
  <c r="X14" i="1"/>
  <c r="Y14" i="1" s="1"/>
  <c r="O38" i="1"/>
  <c r="P38" i="1" s="1"/>
  <c r="AJ51" i="1"/>
  <c r="AK51" i="1" s="1"/>
  <c r="AJ96" i="1"/>
  <c r="AK96" i="1" s="1"/>
  <c r="AP32" i="1"/>
  <c r="AQ32" i="1" s="1"/>
  <c r="X77" i="1"/>
  <c r="Y77" i="1" s="1"/>
  <c r="AP28" i="1"/>
  <c r="AQ28" i="1" s="1"/>
  <c r="I92" i="1"/>
  <c r="J92" i="1" s="1"/>
  <c r="AM15" i="1"/>
  <c r="AN15" i="1" s="1"/>
  <c r="AG111" i="1"/>
  <c r="AH111" i="1" s="1"/>
  <c r="AM134" i="1"/>
  <c r="AN134" i="1" s="1"/>
  <c r="AG100" i="1"/>
  <c r="AH100" i="1" s="1"/>
  <c r="AJ125" i="1"/>
  <c r="AK125" i="1" s="1"/>
  <c r="X118" i="1"/>
  <c r="Y118" i="1" s="1"/>
  <c r="AG115" i="1"/>
  <c r="AH115" i="1" s="1"/>
  <c r="O104" i="1"/>
  <c r="P104" i="1" s="1"/>
  <c r="O18" i="1"/>
  <c r="P18" i="1" s="1"/>
  <c r="U24" i="1"/>
  <c r="V24" i="1" s="1"/>
  <c r="L75" i="1"/>
  <c r="M75" i="1" s="1"/>
  <c r="U20" i="1"/>
  <c r="V20" i="1" s="1"/>
  <c r="U142" i="1"/>
  <c r="V142" i="1" s="1"/>
  <c r="X73" i="1"/>
  <c r="Y73" i="1" s="1"/>
  <c r="O141" i="1"/>
  <c r="P141" i="1" s="1"/>
  <c r="L148" i="1"/>
  <c r="AM75" i="1"/>
  <c r="AN75" i="1" s="1"/>
  <c r="AG85" i="1"/>
  <c r="AH85" i="1" s="1"/>
  <c r="U49" i="1"/>
  <c r="V49" i="1" s="1"/>
  <c r="AD111" i="1"/>
  <c r="AE111" i="1" s="1"/>
  <c r="L128" i="1"/>
  <c r="M128" i="1" s="1"/>
  <c r="X24" i="1"/>
  <c r="Y24" i="1" s="1"/>
  <c r="AG56" i="1"/>
  <c r="AH56" i="1" s="1"/>
  <c r="X22" i="1"/>
  <c r="Y22" i="1" s="1"/>
  <c r="AG88" i="1"/>
  <c r="AH88" i="1" s="1"/>
  <c r="AD76" i="1"/>
  <c r="AE76" i="1" s="1"/>
  <c r="R151" i="1"/>
  <c r="S151" i="1" s="1"/>
  <c r="AD122" i="1"/>
  <c r="AE122" i="1" s="1"/>
  <c r="U60" i="1"/>
  <c r="V60" i="1" s="1"/>
  <c r="AG81" i="1"/>
  <c r="AH81" i="1" s="1"/>
  <c r="AP75" i="1"/>
  <c r="AQ75" i="1" s="1"/>
  <c r="AA63" i="1"/>
  <c r="AB63" i="1" s="1"/>
  <c r="AM149" i="1"/>
  <c r="AN149" i="1" s="1"/>
  <c r="L108" i="1"/>
  <c r="M108" i="1" s="1"/>
  <c r="AP120" i="1"/>
  <c r="AQ120" i="1" s="1"/>
  <c r="AJ99" i="1"/>
  <c r="AK99" i="1" s="1"/>
  <c r="I140" i="1"/>
  <c r="J140" i="1" s="1"/>
  <c r="AD120" i="1"/>
  <c r="AE120" i="1" s="1"/>
  <c r="U116" i="1"/>
  <c r="V116" i="1" s="1"/>
  <c r="AM83" i="1"/>
  <c r="AN83" i="1" s="1"/>
  <c r="U36" i="1"/>
  <c r="V36" i="1" s="1"/>
  <c r="R141" i="1"/>
  <c r="S141" i="1" s="1"/>
  <c r="AJ143" i="1"/>
  <c r="AK143" i="1" s="1"/>
  <c r="AD101" i="1"/>
  <c r="AE101" i="1" s="1"/>
  <c r="U123" i="1"/>
  <c r="V123" i="1" s="1"/>
  <c r="AJ92" i="1"/>
  <c r="AK92" i="1" s="1"/>
  <c r="AA75" i="1"/>
  <c r="AB75" i="1" s="1"/>
  <c r="O37" i="1"/>
  <c r="P37" i="1" s="1"/>
  <c r="AG136" i="1"/>
  <c r="AH136" i="1" s="1"/>
  <c r="R78" i="1"/>
  <c r="S78" i="1" s="1"/>
  <c r="AD31" i="1"/>
  <c r="AE31" i="1" s="1"/>
  <c r="AG141" i="1"/>
  <c r="AH141" i="1" s="1"/>
  <c r="AD81" i="1"/>
  <c r="AE81" i="1" s="1"/>
  <c r="AM44" i="1"/>
  <c r="AN44" i="1" s="1"/>
  <c r="R152" i="1"/>
  <c r="S152" i="1" s="1"/>
  <c r="AM135" i="1"/>
  <c r="AN135" i="1" s="1"/>
  <c r="I63" i="1"/>
  <c r="J63" i="1" s="1"/>
  <c r="L127" i="1"/>
  <c r="M127" i="1" s="1"/>
  <c r="I75" i="1"/>
  <c r="J75" i="1" s="1"/>
  <c r="AG15" i="1"/>
  <c r="AH15" i="1" s="1"/>
  <c r="AP122" i="1"/>
  <c r="AQ122" i="1" s="1"/>
  <c r="AJ54" i="1"/>
  <c r="AK54" i="1" s="1"/>
  <c r="X83" i="1"/>
  <c r="Y83" i="1" s="1"/>
  <c r="X30" i="1"/>
  <c r="Y30" i="1" s="1"/>
  <c r="AG144" i="1"/>
  <c r="AH144" i="1" s="1"/>
  <c r="X48" i="1"/>
  <c r="Y48" i="1" s="1"/>
  <c r="U31" i="1"/>
  <c r="V31" i="1" s="1"/>
  <c r="AA12" i="1"/>
  <c r="AB12" i="1" s="1"/>
  <c r="AD54" i="1"/>
  <c r="AE54" i="1" s="1"/>
  <c r="X60" i="1"/>
  <c r="Y60" i="1" s="1"/>
  <c r="AA28" i="1"/>
  <c r="AB28" i="1" s="1"/>
  <c r="AJ101" i="1"/>
  <c r="AK101" i="1" s="1"/>
  <c r="E148" i="1"/>
  <c r="G148" i="1" s="1"/>
  <c r="E134" i="1"/>
  <c r="G134" i="1" s="1"/>
  <c r="E120" i="1"/>
  <c r="G120" i="1" s="1"/>
  <c r="E110" i="1"/>
  <c r="G110" i="1" s="1"/>
  <c r="E91" i="1"/>
  <c r="G91" i="1" s="1"/>
  <c r="E90" i="1"/>
  <c r="G90" i="1" s="1"/>
  <c r="E80" i="1"/>
  <c r="G80" i="1" s="1"/>
  <c r="E71" i="1"/>
  <c r="G71" i="1" s="1"/>
  <c r="E56" i="1"/>
  <c r="G56" i="1" s="1"/>
  <c r="E46" i="1"/>
  <c r="G46" i="1" s="1"/>
  <c r="E32" i="1"/>
  <c r="G32" i="1" s="1"/>
  <c r="E12" i="1"/>
  <c r="F12" i="1" s="1"/>
  <c r="AJ31" i="1"/>
  <c r="AK31" i="1" s="1"/>
  <c r="AP58" i="1"/>
  <c r="AQ58" i="1" s="1"/>
  <c r="U95" i="1"/>
  <c r="V95" i="1" s="1"/>
  <c r="AD83" i="1"/>
  <c r="AE83" i="1" s="1"/>
  <c r="AA71" i="1"/>
  <c r="AB71" i="1" s="1"/>
  <c r="AJ144" i="1"/>
  <c r="AK144" i="1" s="1"/>
  <c r="X105" i="1"/>
  <c r="Y105" i="1" s="1"/>
  <c r="R118" i="1"/>
  <c r="S118" i="1" s="1"/>
  <c r="AA97" i="1"/>
  <c r="AB97" i="1" s="1"/>
  <c r="R127" i="1"/>
  <c r="S127" i="1" s="1"/>
  <c r="I111" i="1"/>
  <c r="J111" i="1" s="1"/>
  <c r="AA74" i="1"/>
  <c r="AB74" i="1" s="1"/>
  <c r="AP31" i="1"/>
  <c r="AQ31" i="1" s="1"/>
  <c r="I136" i="1"/>
  <c r="J136" i="1" s="1"/>
  <c r="AD140" i="1"/>
  <c r="AE140" i="1" s="1"/>
  <c r="L100" i="1"/>
  <c r="M100" i="1" s="1"/>
  <c r="AJ91" i="1"/>
  <c r="AK91" i="1" s="1"/>
  <c r="AG73" i="1"/>
  <c r="AH73" i="1" s="1"/>
  <c r="L109" i="1"/>
  <c r="M109" i="1" s="1"/>
  <c r="AD22" i="1"/>
  <c r="AE22" i="1" s="1"/>
  <c r="AJ37" i="1"/>
  <c r="AK37" i="1" s="1"/>
  <c r="AA115" i="1"/>
  <c r="AB115" i="1" s="1"/>
  <c r="X38" i="1"/>
  <c r="Y38" i="1" s="1"/>
  <c r="L39" i="1"/>
  <c r="M39" i="1" s="1"/>
  <c r="R109" i="1"/>
  <c r="S109" i="1" s="1"/>
  <c r="E119" i="1"/>
  <c r="G119" i="1" s="1"/>
  <c r="E98" i="1"/>
  <c r="G98" i="1" s="1"/>
  <c r="U98" i="1"/>
  <c r="V98" i="1" s="1"/>
  <c r="AM50" i="1"/>
  <c r="AN50" i="1" s="1"/>
  <c r="AP95" i="1"/>
  <c r="AQ95" i="1" s="1"/>
  <c r="AA109" i="1"/>
  <c r="AB109" i="1" s="1"/>
  <c r="R17" i="1"/>
  <c r="S17" i="1" s="1"/>
  <c r="X63" i="1"/>
  <c r="Y63" i="1" s="1"/>
  <c r="R18" i="1"/>
  <c r="S18" i="1" s="1"/>
  <c r="AM16" i="1"/>
  <c r="AN16" i="1" s="1"/>
  <c r="L116" i="1"/>
  <c r="M116" i="1" s="1"/>
  <c r="R85" i="1"/>
  <c r="S85" i="1" s="1"/>
  <c r="O32" i="1"/>
  <c r="P32" i="1" s="1"/>
  <c r="AD88" i="1"/>
  <c r="AE88" i="1" s="1"/>
  <c r="AD73" i="1"/>
  <c r="AE73" i="1" s="1"/>
  <c r="AM58" i="1"/>
  <c r="AN58" i="1" s="1"/>
  <c r="O91" i="1"/>
  <c r="P91" i="1" s="1"/>
  <c r="O48" i="1"/>
  <c r="P48" i="1" s="1"/>
  <c r="I135" i="1"/>
  <c r="J135" i="1" s="1"/>
  <c r="AP128" i="1"/>
  <c r="AQ128" i="1" s="1"/>
  <c r="L139" i="1"/>
  <c r="L107" i="1"/>
  <c r="M107" i="1" s="1"/>
  <c r="U152" i="1"/>
  <c r="V152" i="1" s="1"/>
  <c r="AP26" i="1"/>
  <c r="AQ26" i="1" s="1"/>
  <c r="AA24" i="1"/>
  <c r="AB24" i="1" s="1"/>
  <c r="X70" i="1"/>
  <c r="Y70" i="1" s="1"/>
  <c r="AD85" i="1"/>
  <c r="AE85" i="1" s="1"/>
  <c r="O52" i="1"/>
  <c r="P52" i="1" s="1"/>
  <c r="AD142" i="1"/>
  <c r="AE142" i="1" s="1"/>
  <c r="I21" i="1"/>
  <c r="J21" i="1" s="1"/>
  <c r="R49" i="1"/>
  <c r="S49" i="1" s="1"/>
  <c r="AD61" i="1"/>
  <c r="AE61" i="1" s="1"/>
  <c r="U82" i="1"/>
  <c r="V82" i="1" s="1"/>
  <c r="O82" i="1"/>
  <c r="P82" i="1" s="1"/>
  <c r="R70" i="1"/>
  <c r="AA148" i="1"/>
  <c r="AB148" i="1" s="1"/>
  <c r="AJ106" i="1"/>
  <c r="AK106" i="1" s="1"/>
  <c r="AD119" i="1"/>
  <c r="AE119" i="1" s="1"/>
  <c r="AM98" i="1"/>
  <c r="AN98" i="1" s="1"/>
  <c r="AD135" i="1"/>
  <c r="AE135" i="1" s="1"/>
  <c r="I112" i="1"/>
  <c r="J112" i="1" s="1"/>
  <c r="AD113" i="1"/>
  <c r="AE113" i="1" s="1"/>
  <c r="AA82" i="1"/>
  <c r="AB82" i="1" s="1"/>
  <c r="I35" i="1"/>
  <c r="J35" i="1" s="1"/>
  <c r="AD136" i="1"/>
  <c r="AE136" i="1" s="1"/>
  <c r="AM141" i="1"/>
  <c r="AN141" i="1" s="1"/>
  <c r="AD100" i="1"/>
  <c r="AE100" i="1" s="1"/>
  <c r="O122" i="1"/>
  <c r="P122" i="1" s="1"/>
  <c r="R92" i="1"/>
  <c r="S92" i="1" s="1"/>
  <c r="AD74" i="1"/>
  <c r="AE74" i="1" s="1"/>
  <c r="L32" i="1"/>
  <c r="M32" i="1" s="1"/>
  <c r="AP110" i="1"/>
  <c r="AQ110" i="1" s="1"/>
  <c r="U77" i="1"/>
  <c r="V77" i="1" s="1"/>
  <c r="AG30" i="1"/>
  <c r="AH30" i="1" s="1"/>
  <c r="AP140" i="1"/>
  <c r="AQ140" i="1" s="1"/>
  <c r="AP79" i="1"/>
  <c r="AQ79" i="1" s="1"/>
  <c r="R38" i="1"/>
  <c r="S38" i="1" s="1"/>
  <c r="AA151" i="1"/>
  <c r="L111" i="1"/>
  <c r="M111" i="1" s="1"/>
  <c r="AA62" i="1"/>
  <c r="AB62" i="1" s="1"/>
  <c r="O117" i="1"/>
  <c r="P117" i="1" s="1"/>
  <c r="X74" i="1"/>
  <c r="Y74" i="1" s="1"/>
  <c r="O15" i="1"/>
  <c r="P15" i="1" s="1"/>
  <c r="AJ119" i="1"/>
  <c r="AK119" i="1" s="1"/>
  <c r="AA49" i="1"/>
  <c r="AB49" i="1" s="1"/>
  <c r="X81" i="1"/>
  <c r="Y81" i="1" s="1"/>
  <c r="AP29" i="1"/>
  <c r="AQ29" i="1" s="1"/>
  <c r="X140" i="1"/>
  <c r="Y140" i="1" s="1"/>
  <c r="U37" i="1"/>
  <c r="V37" i="1" s="1"/>
  <c r="AM37" i="1"/>
  <c r="AN37" i="1" s="1"/>
  <c r="AP25" i="1"/>
  <c r="AQ25" i="1" s="1"/>
  <c r="AP14" i="1"/>
  <c r="AQ14" i="1" s="1"/>
  <c r="AG61" i="1"/>
  <c r="AH61" i="1" s="1"/>
  <c r="U30" i="1"/>
  <c r="V30" i="1" s="1"/>
  <c r="AJ104" i="1"/>
  <c r="AK104" i="1" s="1"/>
  <c r="L79" i="1"/>
  <c r="M79" i="1" s="1"/>
  <c r="AD35" i="1"/>
  <c r="AE35" i="1" s="1"/>
  <c r="AG90" i="1"/>
  <c r="AH90" i="1" s="1"/>
  <c r="U73" i="1"/>
  <c r="V73" i="1" s="1"/>
  <c r="L62" i="1"/>
  <c r="M62" i="1" s="1"/>
  <c r="L55" i="1"/>
  <c r="M55" i="1" s="1"/>
  <c r="I16" i="1"/>
  <c r="J16" i="1" s="1"/>
  <c r="AG93" i="1"/>
  <c r="AH93" i="1" s="1"/>
  <c r="AM74" i="1"/>
  <c r="AN74" i="1" s="1"/>
  <c r="X143" i="1"/>
  <c r="Y143" i="1" s="1"/>
  <c r="L104" i="1"/>
  <c r="M104" i="1" s="1"/>
  <c r="AP116" i="1"/>
  <c r="AQ116" i="1" s="1"/>
  <c r="O96" i="1"/>
  <c r="P96" i="1" s="1"/>
  <c r="U124" i="1"/>
  <c r="V124" i="1" s="1"/>
  <c r="AA111" i="1"/>
  <c r="AB111" i="1" s="1"/>
  <c r="O73" i="1"/>
  <c r="P73" i="1" s="1"/>
  <c r="AD30" i="1"/>
  <c r="AE30" i="1" s="1"/>
  <c r="AP111" i="1"/>
  <c r="AQ111" i="1" s="1"/>
  <c r="AD99" i="1"/>
  <c r="AE99" i="1" s="1"/>
  <c r="AM119" i="1"/>
  <c r="AN119" i="1" s="1"/>
  <c r="R72" i="1"/>
  <c r="S72" i="1" s="1"/>
  <c r="AM28" i="1"/>
  <c r="AN28" i="1" s="1"/>
  <c r="AG104" i="1"/>
  <c r="AH104" i="1" s="1"/>
  <c r="AP19" i="1"/>
  <c r="AQ19" i="1" s="1"/>
  <c r="O126" i="1"/>
  <c r="P126" i="1" s="1"/>
  <c r="O36" i="1"/>
  <c r="P36" i="1" s="1"/>
  <c r="AA61" i="1"/>
  <c r="AB61" i="1" s="1"/>
  <c r="L50" i="1"/>
  <c r="M50" i="1" s="1"/>
  <c r="O54" i="1"/>
  <c r="P54" i="1" s="1"/>
  <c r="I32" i="1"/>
  <c r="J32" i="1" s="1"/>
  <c r="AP78" i="1"/>
  <c r="AQ78" i="1" s="1"/>
  <c r="X107" i="1"/>
  <c r="Y107" i="1" s="1"/>
  <c r="AG139" i="1"/>
  <c r="AH139" i="1" s="1"/>
  <c r="AG59" i="1"/>
  <c r="AH59" i="1" s="1"/>
  <c r="U72" i="1"/>
  <c r="V72" i="1" s="1"/>
  <c r="AP48" i="1"/>
  <c r="AQ48" i="1" s="1"/>
  <c r="E79" i="1"/>
  <c r="G79" i="1" s="1"/>
  <c r="E45" i="1"/>
  <c r="G45" i="1" s="1"/>
  <c r="E20" i="1"/>
  <c r="G20" i="1" s="1"/>
  <c r="U59" i="1"/>
  <c r="V59" i="1" s="1"/>
  <c r="R87" i="1"/>
  <c r="S87" i="1" s="1"/>
  <c r="I126" i="1"/>
  <c r="J126" i="1" s="1"/>
  <c r="R89" i="1"/>
  <c r="S89" i="1" s="1"/>
  <c r="I80" i="1"/>
  <c r="J80" i="1" s="1"/>
  <c r="I78" i="1"/>
  <c r="J78" i="1" s="1"/>
  <c r="I100" i="1"/>
  <c r="J100" i="1" s="1"/>
  <c r="AA77" i="1"/>
  <c r="AB77" i="1" s="1"/>
  <c r="AM139" i="1"/>
  <c r="AM94" i="1"/>
  <c r="AN94" i="1" s="1"/>
  <c r="AD108" i="1"/>
  <c r="AE108" i="1" s="1"/>
  <c r="AA70" i="1"/>
  <c r="AB70" i="1" s="1"/>
  <c r="AG109" i="1"/>
  <c r="AH109" i="1" s="1"/>
  <c r="R84" i="1"/>
  <c r="S84" i="1" s="1"/>
  <c r="U71" i="1"/>
  <c r="V71" i="1" s="1"/>
  <c r="AA103" i="1"/>
  <c r="AB103" i="1" s="1"/>
  <c r="AJ71" i="1"/>
  <c r="AK71" i="1" s="1"/>
  <c r="O124" i="1"/>
  <c r="P124" i="1" s="1"/>
  <c r="AG35" i="1"/>
  <c r="AH35" i="1" s="1"/>
  <c r="AJ97" i="1"/>
  <c r="AK97" i="1" s="1"/>
  <c r="U108" i="1"/>
  <c r="V108" i="1" s="1"/>
  <c r="I48" i="1"/>
  <c r="J48" i="1" s="1"/>
  <c r="AD50" i="1"/>
  <c r="AE50" i="1" s="1"/>
  <c r="AP74" i="1"/>
  <c r="AQ74" i="1" s="1"/>
  <c r="I99" i="1"/>
  <c r="J99" i="1" s="1"/>
  <c r="AG127" i="1"/>
  <c r="AH127" i="1" s="1"/>
  <c r="U22" i="1"/>
  <c r="V22" i="1" s="1"/>
  <c r="AG125" i="1"/>
  <c r="AH125" i="1" s="1"/>
  <c r="X28" i="1"/>
  <c r="Y28" i="1" s="1"/>
  <c r="AA79" i="1"/>
  <c r="AB79" i="1" s="1"/>
  <c r="AG99" i="1"/>
  <c r="AH99" i="1" s="1"/>
  <c r="AP121" i="1"/>
  <c r="AQ121" i="1" s="1"/>
  <c r="AD63" i="1"/>
  <c r="AE63" i="1" s="1"/>
  <c r="O128" i="1"/>
  <c r="P128" i="1" s="1"/>
  <c r="AG118" i="1"/>
  <c r="AH118" i="1" s="1"/>
  <c r="R63" i="1"/>
  <c r="S63" i="1" s="1"/>
  <c r="R99" i="1"/>
  <c r="S99" i="1" s="1"/>
  <c r="AJ121" i="1"/>
  <c r="AK121" i="1" s="1"/>
  <c r="AA139" i="1"/>
  <c r="AB139" i="1" s="1"/>
  <c r="AD93" i="1"/>
  <c r="AE93" i="1" s="1"/>
  <c r="X47" i="1"/>
  <c r="Y47" i="1" s="1"/>
  <c r="AM95" i="1"/>
  <c r="AN95" i="1" s="1"/>
  <c r="I97" i="1"/>
  <c r="J97" i="1" s="1"/>
  <c r="U58" i="1"/>
  <c r="V58" i="1" s="1"/>
  <c r="AP22" i="1"/>
  <c r="AQ22" i="1" s="1"/>
  <c r="AG126" i="1"/>
  <c r="AH126" i="1" s="1"/>
  <c r="E88" i="1"/>
  <c r="G88" i="1" s="1"/>
  <c r="E78" i="1"/>
  <c r="G78" i="1" s="1"/>
  <c r="E63" i="1"/>
  <c r="G63" i="1" s="1"/>
  <c r="E54" i="1"/>
  <c r="G54" i="1" s="1"/>
  <c r="E29" i="1"/>
  <c r="G29" i="1" s="1"/>
  <c r="U101" i="1"/>
  <c r="V101" i="1" s="1"/>
  <c r="AD62" i="1"/>
  <c r="AE62" i="1" s="1"/>
  <c r="AJ108" i="1"/>
  <c r="AK108" i="1" s="1"/>
  <c r="AM152" i="1"/>
  <c r="AN152" i="1" s="1"/>
  <c r="X103" i="1"/>
  <c r="Y103" i="1" s="1"/>
  <c r="I18" i="1"/>
  <c r="J18" i="1" s="1"/>
  <c r="AD25" i="1"/>
  <c r="AE25" i="1" s="1"/>
  <c r="AG78" i="1"/>
  <c r="AH78" i="1" s="1"/>
  <c r="X111" i="1"/>
  <c r="Y111" i="1" s="1"/>
  <c r="AP99" i="1"/>
  <c r="AQ99" i="1" s="1"/>
  <c r="AA87" i="1"/>
  <c r="X134" i="1"/>
  <c r="Y134" i="1" s="1"/>
  <c r="X152" i="1"/>
  <c r="Y152" i="1" s="1"/>
  <c r="AJ128" i="1"/>
  <c r="AK128" i="1" s="1"/>
  <c r="O92" i="1"/>
  <c r="P92" i="1" s="1"/>
  <c r="X148" i="1"/>
  <c r="AD107" i="1"/>
  <c r="AE107" i="1" s="1"/>
  <c r="R62" i="1"/>
  <c r="S62" i="1" s="1"/>
  <c r="O98" i="1"/>
  <c r="P98" i="1" s="1"/>
  <c r="I127" i="1"/>
  <c r="J127" i="1" s="1"/>
  <c r="I118" i="1"/>
  <c r="J118" i="1" s="1"/>
  <c r="L115" i="1"/>
  <c r="M115" i="1" s="1"/>
  <c r="U62" i="1"/>
  <c r="V62" i="1" s="1"/>
  <c r="AM93" i="1"/>
  <c r="AN93" i="1" s="1"/>
  <c r="AP15" i="1"/>
  <c r="AQ15" i="1" s="1"/>
  <c r="AP118" i="1"/>
  <c r="AQ118" i="1" s="1"/>
  <c r="I58" i="1"/>
  <c r="J58" i="1" s="1"/>
  <c r="R117" i="1"/>
  <c r="S117" i="1" s="1"/>
  <c r="AJ152" i="1"/>
  <c r="AK152" i="1" s="1"/>
  <c r="AJ44" i="1"/>
  <c r="AJ34" i="1"/>
  <c r="X78" i="1"/>
  <c r="Y78" i="1" s="1"/>
  <c r="AP62" i="1"/>
  <c r="AQ62" i="1" s="1"/>
  <c r="R61" i="1"/>
  <c r="S61" i="1" s="1"/>
  <c r="AJ13" i="1"/>
  <c r="AK13" i="1" s="1"/>
  <c r="X25" i="1"/>
  <c r="Y25" i="1" s="1"/>
  <c r="AG52" i="1"/>
  <c r="AH52" i="1" s="1"/>
  <c r="E142" i="1"/>
  <c r="G142" i="1" s="1"/>
  <c r="E116" i="1"/>
  <c r="G116" i="1" s="1"/>
  <c r="E96" i="1"/>
  <c r="G96" i="1" s="1"/>
  <c r="AG71" i="1"/>
  <c r="AH71" i="1" s="1"/>
  <c r="AA135" i="1"/>
  <c r="AB135" i="1" s="1"/>
  <c r="L120" i="1"/>
  <c r="M120" i="1" s="1"/>
  <c r="AP97" i="1"/>
  <c r="AQ97" i="1" s="1"/>
  <c r="I125" i="1"/>
  <c r="J125" i="1" s="1"/>
  <c r="AM17" i="1"/>
  <c r="AN17" i="1" s="1"/>
  <c r="X121" i="1"/>
  <c r="Y121" i="1" s="1"/>
  <c r="O30" i="1"/>
  <c r="P30" i="1" s="1"/>
  <c r="X31" i="1"/>
  <c r="Y31" i="1" s="1"/>
  <c r="AM18" i="1"/>
  <c r="AN18" i="1" s="1"/>
  <c r="AD90" i="1"/>
  <c r="AE90" i="1" s="1"/>
  <c r="AA128" i="1"/>
  <c r="AB128" i="1" s="1"/>
  <c r="L151" i="1"/>
  <c r="M151" i="1" s="1"/>
  <c r="AM126" i="1"/>
  <c r="AN126" i="1" s="1"/>
  <c r="AM90" i="1"/>
  <c r="AN90" i="1" s="1"/>
  <c r="X151" i="1"/>
  <c r="Y151" i="1" s="1"/>
  <c r="AP98" i="1"/>
  <c r="AQ98" i="1" s="1"/>
  <c r="AP60" i="1"/>
  <c r="AQ60" i="1" s="1"/>
  <c r="L140" i="1"/>
  <c r="M140" i="1" s="1"/>
  <c r="AG97" i="1"/>
  <c r="AH97" i="1" s="1"/>
  <c r="X126" i="1"/>
  <c r="Y126" i="1" s="1"/>
  <c r="L80" i="1"/>
  <c r="M80" i="1" s="1"/>
  <c r="X112" i="1"/>
  <c r="Y112" i="1" s="1"/>
  <c r="AP112" i="1"/>
  <c r="AQ112" i="1" s="1"/>
  <c r="I60" i="1"/>
  <c r="J60" i="1" s="1"/>
  <c r="AA15" i="1"/>
  <c r="AB15" i="1" s="1"/>
  <c r="O93" i="1"/>
  <c r="P93" i="1" s="1"/>
  <c r="L52" i="1"/>
  <c r="M52" i="1" s="1"/>
  <c r="AD14" i="1"/>
  <c r="AE14" i="1" s="1"/>
  <c r="O118" i="1"/>
  <c r="P118" i="1" s="1"/>
  <c r="AA57" i="1"/>
  <c r="AB57" i="1" s="1"/>
  <c r="AG32" i="1"/>
  <c r="AH32" i="1" s="1"/>
  <c r="U113" i="1"/>
  <c r="V113" i="1" s="1"/>
  <c r="AM136" i="1"/>
  <c r="AN136" i="1" s="1"/>
  <c r="AA96" i="1"/>
  <c r="AB96" i="1" s="1"/>
  <c r="AA38" i="1"/>
  <c r="AB38" i="1" s="1"/>
  <c r="R34" i="1"/>
  <c r="S34" i="1" s="1"/>
  <c r="AG76" i="1"/>
  <c r="AH76" i="1" s="1"/>
  <c r="L126" i="1"/>
  <c r="M126" i="1" s="1"/>
  <c r="AJ60" i="1"/>
  <c r="AK60" i="1" s="1"/>
  <c r="AJ55" i="1"/>
  <c r="AK55" i="1" s="1"/>
  <c r="L95" i="1"/>
  <c r="M95" i="1" s="1"/>
  <c r="U112" i="1"/>
  <c r="V112" i="1" s="1"/>
  <c r="AJ17" i="1"/>
  <c r="AK17" i="1" s="1"/>
  <c r="I26" i="1"/>
  <c r="J26" i="1" s="1"/>
  <c r="I54" i="1"/>
  <c r="E87" i="1"/>
  <c r="G87" i="1" s="1"/>
  <c r="E77" i="1"/>
  <c r="G77" i="1" s="1"/>
  <c r="E62" i="1"/>
  <c r="G62" i="1" s="1"/>
  <c r="E38" i="1"/>
  <c r="G38" i="1" s="1"/>
  <c r="E28" i="1"/>
  <c r="G28" i="1" s="1"/>
  <c r="E18" i="1"/>
  <c r="G18" i="1" s="1"/>
  <c r="O110" i="1"/>
  <c r="P110" i="1" s="1"/>
  <c r="AM81" i="1"/>
  <c r="AN81" i="1" s="1"/>
  <c r="AG117" i="1"/>
  <c r="AH117" i="1" s="1"/>
  <c r="X93" i="1"/>
  <c r="Y93" i="1" s="1"/>
  <c r="L103" i="1"/>
  <c r="M103" i="1" s="1"/>
  <c r="AJ16" i="1"/>
  <c r="AK16" i="1" s="1"/>
  <c r="R128" i="1"/>
  <c r="S128" i="1" s="1"/>
  <c r="AD36" i="1"/>
  <c r="AE36" i="1" s="1"/>
  <c r="I17" i="1"/>
  <c r="J17" i="1" s="1"/>
  <c r="X19" i="1"/>
  <c r="Y19" i="1" s="1"/>
  <c r="AP92" i="1"/>
  <c r="AQ92" i="1" s="1"/>
  <c r="U149" i="1"/>
  <c r="V149" i="1" s="1"/>
  <c r="AP123" i="1"/>
  <c r="AQ123" i="1" s="1"/>
  <c r="AG152" i="1"/>
  <c r="AH152" i="1" s="1"/>
  <c r="I149" i="1"/>
  <c r="J149" i="1" s="1"/>
  <c r="AD59" i="1"/>
  <c r="AE59" i="1" s="1"/>
  <c r="R115" i="1"/>
  <c r="S115" i="1" s="1"/>
  <c r="O97" i="1"/>
  <c r="P97" i="1" s="1"/>
  <c r="O79" i="1"/>
  <c r="P79" i="1" s="1"/>
  <c r="AP107" i="1"/>
  <c r="AQ107" i="1" s="1"/>
  <c r="L59" i="1"/>
  <c r="M59" i="1" s="1"/>
  <c r="O14" i="1"/>
  <c r="P14" i="1" s="1"/>
  <c r="R13" i="1"/>
  <c r="S13" i="1" s="1"/>
  <c r="X101" i="1"/>
  <c r="Y101" i="1" s="1"/>
  <c r="I57" i="1"/>
  <c r="J57" i="1" s="1"/>
  <c r="L136" i="1"/>
  <c r="M136" i="1" s="1"/>
  <c r="R95" i="1"/>
  <c r="S95" i="1" s="1"/>
  <c r="X36" i="1"/>
  <c r="Y36" i="1" s="1"/>
  <c r="L76" i="1"/>
  <c r="M76" i="1" s="1"/>
  <c r="R60" i="1"/>
  <c r="S60" i="1" s="1"/>
  <c r="AG54" i="1"/>
  <c r="AH54" i="1" s="1"/>
  <c r="AJ14" i="1"/>
  <c r="AK14" i="1" s="1"/>
  <c r="I12" i="1"/>
  <c r="J12" i="1" s="1"/>
  <c r="X91" i="1"/>
  <c r="Y91" i="1" s="1"/>
  <c r="E115" i="1"/>
  <c r="F115" i="1" s="1"/>
  <c r="E95" i="1"/>
  <c r="G95" i="1" s="1"/>
  <c r="AD49" i="1"/>
  <c r="AE49" i="1" s="1"/>
  <c r="AA83" i="1"/>
  <c r="AB83" i="1" s="1"/>
  <c r="U97" i="1"/>
  <c r="V97" i="1" s="1"/>
  <c r="L88" i="1"/>
  <c r="M88" i="1" s="1"/>
  <c r="AD21" i="1"/>
  <c r="AE21" i="1" s="1"/>
  <c r="X44" i="1"/>
  <c r="AJ18" i="1"/>
  <c r="AK18" i="1" s="1"/>
  <c r="I134" i="1"/>
  <c r="J134" i="1" s="1"/>
  <c r="AM125" i="1"/>
  <c r="AN125" i="1" s="1"/>
  <c r="I148" i="1"/>
  <c r="J148" i="1" s="1"/>
  <c r="X123" i="1"/>
  <c r="Y123" i="1" s="1"/>
  <c r="AG140" i="1"/>
  <c r="AH140" i="1" s="1"/>
  <c r="AD96" i="1"/>
  <c r="AE96" i="1" s="1"/>
  <c r="R58" i="1"/>
  <c r="S58" i="1" s="1"/>
  <c r="AA108" i="1"/>
  <c r="AB108" i="1" s="1"/>
  <c r="R94" i="1"/>
  <c r="S94" i="1" s="1"/>
  <c r="AP151" i="1"/>
  <c r="U107" i="1"/>
  <c r="V107" i="1" s="1"/>
  <c r="AJ56" i="1"/>
  <c r="AK56" i="1" s="1"/>
  <c r="L92" i="1"/>
  <c r="M92" i="1" s="1"/>
  <c r="AP47" i="1"/>
  <c r="AQ47" i="1" s="1"/>
  <c r="AA99" i="1"/>
  <c r="AB99" i="1" s="1"/>
  <c r="AG31" i="1"/>
  <c r="AH31" i="1" s="1"/>
  <c r="AJ109" i="1"/>
  <c r="AK109" i="1" s="1"/>
  <c r="AJ88" i="1"/>
  <c r="AK88" i="1" s="1"/>
  <c r="AD94" i="1"/>
  <c r="AE94" i="1" s="1"/>
  <c r="I31" i="1"/>
  <c r="J31" i="1" s="1"/>
  <c r="AD71" i="1"/>
  <c r="AE71" i="1" s="1"/>
  <c r="O59" i="1"/>
  <c r="P59" i="1" s="1"/>
  <c r="L93" i="1"/>
  <c r="M93" i="1" s="1"/>
  <c r="X16" i="1"/>
  <c r="Y16" i="1" s="1"/>
  <c r="O13" i="1"/>
  <c r="P13" i="1" s="1"/>
  <c r="AG94" i="1"/>
  <c r="AH94" i="1" s="1"/>
  <c r="L61" i="1"/>
  <c r="M61" i="1" s="1"/>
  <c r="AD15" i="1"/>
  <c r="AE15" i="1" s="1"/>
  <c r="AD39" i="1"/>
  <c r="AE39" i="1" s="1"/>
  <c r="R12" i="1"/>
  <c r="S12" i="1" s="1"/>
  <c r="AM96" i="1"/>
  <c r="AN96" i="1" s="1"/>
  <c r="AA47" i="1"/>
  <c r="AB47" i="1" s="1"/>
  <c r="L21" i="1"/>
  <c r="M21" i="1" s="1"/>
  <c r="AA124" i="1"/>
  <c r="AB124" i="1" s="1"/>
  <c r="AA121" i="1"/>
  <c r="AB121" i="1" s="1"/>
  <c r="AP136" i="1"/>
  <c r="AQ136" i="1" s="1"/>
  <c r="AP56" i="1"/>
  <c r="AQ56" i="1" s="1"/>
  <c r="AA30" i="1"/>
  <c r="AB30" i="1" s="1"/>
  <c r="U81" i="1"/>
  <c r="V81" i="1" s="1"/>
  <c r="AM36" i="1"/>
  <c r="AN36" i="1" s="1"/>
  <c r="I113" i="1"/>
  <c r="J113" i="1" s="1"/>
  <c r="U44" i="1"/>
  <c r="O25" i="1"/>
  <c r="P25" i="1" s="1"/>
  <c r="I89" i="1"/>
  <c r="J89" i="1" s="1"/>
  <c r="L113" i="1"/>
  <c r="M113" i="1" s="1"/>
  <c r="U120" i="1"/>
  <c r="V120" i="1" s="1"/>
  <c r="O31" i="1"/>
  <c r="P31" i="1" s="1"/>
  <c r="X76" i="1"/>
  <c r="Y76" i="1" s="1"/>
  <c r="AJ136" i="1"/>
  <c r="AK136" i="1" s="1"/>
  <c r="R77" i="1"/>
  <c r="S77" i="1" s="1"/>
  <c r="AM148" i="1"/>
  <c r="O100" i="1"/>
  <c r="P100" i="1" s="1"/>
  <c r="I62" i="1"/>
  <c r="J62" i="1" s="1"/>
  <c r="L51" i="1"/>
  <c r="M51" i="1" s="1"/>
  <c r="AG13" i="1"/>
  <c r="O111" i="1"/>
  <c r="P111" i="1" s="1"/>
  <c r="AM80" i="1"/>
  <c r="AN80" i="1" s="1"/>
  <c r="AJ24" i="1"/>
  <c r="R108" i="1"/>
  <c r="S108" i="1" s="1"/>
  <c r="AG143" i="1"/>
  <c r="AH143" i="1" s="1"/>
  <c r="AD38" i="1"/>
  <c r="AE38" i="1" s="1"/>
  <c r="U18" i="1"/>
  <c r="V18" i="1" s="1"/>
  <c r="AP70" i="1"/>
  <c r="R48" i="1"/>
  <c r="S48" i="1" s="1"/>
  <c r="E144" i="1"/>
  <c r="G144" i="1" s="1"/>
  <c r="AM39" i="1"/>
  <c r="AN39" i="1" s="1"/>
  <c r="AG74" i="1"/>
  <c r="AH74" i="1" s="1"/>
  <c r="AA110" i="1"/>
  <c r="AB110" i="1" s="1"/>
  <c r="X139" i="1"/>
  <c r="AJ90" i="1"/>
  <c r="AK90" i="1" s="1"/>
  <c r="L74" i="1"/>
  <c r="M74" i="1" s="1"/>
  <c r="AM144" i="1"/>
  <c r="AN144" i="1" s="1"/>
  <c r="AG113" i="1"/>
  <c r="AH113" i="1" s="1"/>
  <c r="AP108" i="1"/>
  <c r="AQ108" i="1" s="1"/>
  <c r="R24" i="1"/>
  <c r="L48" i="1"/>
  <c r="M48" i="1" s="1"/>
  <c r="L20" i="1"/>
  <c r="M20" i="1" s="1"/>
  <c r="AM110" i="1"/>
  <c r="AN110" i="1" s="1"/>
  <c r="E128" i="1"/>
  <c r="G128" i="1" s="1"/>
  <c r="E89" i="1"/>
  <c r="G89" i="1" s="1"/>
  <c r="E70" i="1"/>
  <c r="G70" i="1" s="1"/>
  <c r="U32" i="1"/>
  <c r="V32" i="1" s="1"/>
  <c r="I85" i="1"/>
  <c r="J85" i="1" s="1"/>
  <c r="O24" i="1"/>
  <c r="AG24" i="1"/>
  <c r="AH24" i="1" s="1"/>
  <c r="I101" i="1"/>
  <c r="J101" i="1" s="1"/>
  <c r="X122" i="1"/>
  <c r="Y122" i="1" s="1"/>
  <c r="I110" i="1"/>
  <c r="J110" i="1" s="1"/>
  <c r="R29" i="1"/>
  <c r="S29" i="1" s="1"/>
  <c r="AJ134" i="1"/>
  <c r="AK134" i="1" s="1"/>
  <c r="R119" i="1"/>
  <c r="S119" i="1" s="1"/>
  <c r="AP27" i="1"/>
  <c r="AQ27" i="1" s="1"/>
  <c r="AD18" i="1"/>
  <c r="AE18" i="1" s="1"/>
  <c r="L60" i="1"/>
  <c r="M60" i="1" s="1"/>
  <c r="I61" i="1"/>
  <c r="J61" i="1" s="1"/>
  <c r="AA100" i="1"/>
  <c r="AB100" i="1" s="1"/>
  <c r="O20" i="1"/>
  <c r="P20" i="1" s="1"/>
  <c r="R51" i="1"/>
  <c r="S51" i="1" s="1"/>
  <c r="AP72" i="1"/>
  <c r="AQ72" i="1" s="1"/>
  <c r="E127" i="1"/>
  <c r="G127" i="1" s="1"/>
  <c r="E107" i="1"/>
  <c r="G107" i="1" s="1"/>
  <c r="U122" i="1"/>
  <c r="V122" i="1" s="1"/>
  <c r="AP20" i="1"/>
  <c r="AQ20" i="1" s="1"/>
  <c r="AM29" i="1"/>
  <c r="AN29" i="1" s="1"/>
  <c r="AD89" i="1"/>
  <c r="AE89" i="1" s="1"/>
  <c r="X97" i="1"/>
  <c r="Y97" i="1" s="1"/>
  <c r="L17" i="1"/>
  <c r="M17" i="1" s="1"/>
  <c r="AJ135" i="1"/>
  <c r="AK135" i="1" s="1"/>
  <c r="AG134" i="1"/>
  <c r="AJ103" i="1"/>
  <c r="U143" i="1"/>
  <c r="V143" i="1" s="1"/>
  <c r="U83" i="1"/>
  <c r="V83" i="1" s="1"/>
  <c r="AD26" i="1"/>
  <c r="AE26" i="1" s="1"/>
  <c r="AA58" i="1"/>
  <c r="AB58" i="1" s="1"/>
  <c r="AM106" i="1"/>
  <c r="AN106" i="1" s="1"/>
  <c r="O142" i="1"/>
  <c r="P142" i="1" s="1"/>
  <c r="AJ122" i="1"/>
  <c r="AK122" i="1" s="1"/>
  <c r="O74" i="1"/>
  <c r="P74" i="1" s="1"/>
  <c r="E19" i="1"/>
  <c r="G19" i="1" s="1"/>
  <c r="R142" i="1"/>
  <c r="S142" i="1" s="1"/>
  <c r="L91" i="1"/>
  <c r="M91" i="1" s="1"/>
  <c r="X96" i="1"/>
  <c r="Y96" i="1" s="1"/>
  <c r="AM142" i="1"/>
  <c r="AN142" i="1" s="1"/>
  <c r="AA90" i="1"/>
  <c r="AB90" i="1" s="1"/>
  <c r="L73" i="1"/>
  <c r="M73" i="1" s="1"/>
  <c r="X87" i="1"/>
  <c r="Y87" i="1" s="1"/>
  <c r="O127" i="1"/>
  <c r="P127" i="1" s="1"/>
  <c r="I98" i="1"/>
  <c r="J98" i="1" s="1"/>
  <c r="AM111" i="1"/>
  <c r="AN111" i="1" s="1"/>
  <c r="AJ49" i="1"/>
  <c r="AK49" i="1" s="1"/>
  <c r="U89" i="1"/>
  <c r="V89" i="1" s="1"/>
  <c r="R121" i="1"/>
  <c r="S121" i="1" s="1"/>
  <c r="AG135" i="1"/>
  <c r="AH135" i="1" s="1"/>
  <c r="R57" i="1"/>
  <c r="S57" i="1" s="1"/>
  <c r="E105" i="1"/>
  <c r="G105" i="1" s="1"/>
  <c r="AG39" i="1"/>
  <c r="AH39" i="1" s="1"/>
  <c r="O152" i="1"/>
  <c r="P152" i="1" s="1"/>
  <c r="AG110" i="1"/>
  <c r="AH110" i="1" s="1"/>
  <c r="O139" i="1"/>
  <c r="P139" i="1" s="1"/>
  <c r="I128" i="1"/>
  <c r="J128" i="1" s="1"/>
  <c r="AM118" i="1"/>
  <c r="AN118" i="1" s="1"/>
  <c r="AJ142" i="1"/>
  <c r="AK142" i="1" s="1"/>
  <c r="E85" i="1"/>
  <c r="G85" i="1" s="1"/>
  <c r="E50" i="1"/>
  <c r="G50" i="1" s="1"/>
  <c r="E37" i="1"/>
  <c r="G37" i="1" s="1"/>
  <c r="E27" i="1"/>
  <c r="G27" i="1" s="1"/>
  <c r="AJ72" i="1"/>
  <c r="AK72" i="1" s="1"/>
  <c r="E55" i="1"/>
  <c r="G55" i="1" s="1"/>
  <c r="AJ140" i="1"/>
  <c r="AK140" i="1" s="1"/>
  <c r="AM113" i="1"/>
  <c r="AN113" i="1" s="1"/>
  <c r="AP144" i="1"/>
  <c r="AQ144" i="1" s="1"/>
  <c r="X142" i="1"/>
  <c r="Y142" i="1" s="1"/>
  <c r="AJ149" i="1"/>
  <c r="AK149" i="1" s="1"/>
  <c r="O62" i="1"/>
  <c r="P62" i="1" s="1"/>
  <c r="E143" i="1"/>
  <c r="G143" i="1" s="1"/>
  <c r="E97" i="1"/>
  <c r="G97" i="1" s="1"/>
  <c r="I87" i="1"/>
  <c r="J87" i="1" s="1"/>
  <c r="AJ47" i="1"/>
  <c r="AK47" i="1" s="1"/>
  <c r="U96" i="1"/>
  <c r="V96" i="1" s="1"/>
  <c r="AG101" i="1"/>
  <c r="AH101" i="1" s="1"/>
  <c r="AA93" i="1"/>
  <c r="AB93" i="1" s="1"/>
  <c r="I107" i="1"/>
  <c r="J107" i="1" s="1"/>
  <c r="AJ117" i="1"/>
  <c r="AK117" i="1" s="1"/>
  <c r="AM70" i="1"/>
  <c r="AN70" i="1" s="1"/>
  <c r="O35" i="1"/>
  <c r="P35" i="1" s="1"/>
  <c r="AA60" i="1"/>
  <c r="AB60" i="1" s="1"/>
  <c r="O44" i="1"/>
  <c r="AG19" i="1"/>
  <c r="AH19" i="1" s="1"/>
  <c r="O70" i="1"/>
  <c r="P70" i="1" s="1"/>
  <c r="X51" i="1"/>
  <c r="Y51" i="1" s="1"/>
  <c r="AG12" i="1"/>
  <c r="AH12" i="1" s="1"/>
  <c r="R30" i="1"/>
  <c r="S30" i="1" s="1"/>
  <c r="AD152" i="1"/>
  <c r="AE152" i="1" s="1"/>
  <c r="I81" i="1"/>
  <c r="J81" i="1" s="1"/>
  <c r="AM61" i="1"/>
  <c r="AN61" i="1" s="1"/>
  <c r="AG34" i="1"/>
  <c r="AM97" i="1"/>
  <c r="AN97" i="1" s="1"/>
  <c r="L135" i="1"/>
  <c r="M135" i="1" s="1"/>
  <c r="AP82" i="1"/>
  <c r="AQ82" i="1" s="1"/>
  <c r="L83" i="1"/>
  <c r="M83" i="1" s="1"/>
  <c r="L152" i="1"/>
  <c r="M152" i="1" s="1"/>
  <c r="E106" i="1"/>
  <c r="G106" i="1" s="1"/>
  <c r="L110" i="1"/>
  <c r="M110" i="1" s="1"/>
  <c r="X79" i="1"/>
  <c r="Y79" i="1" s="1"/>
  <c r="AD125" i="1"/>
  <c r="AE125" i="1" s="1"/>
  <c r="AP113" i="1"/>
  <c r="AQ113" i="1" s="1"/>
  <c r="O39" i="1"/>
  <c r="P39" i="1" s="1"/>
  <c r="AJ141" i="1"/>
  <c r="AK141" i="1" s="1"/>
  <c r="L124" i="1"/>
  <c r="M124" i="1" s="1"/>
  <c r="AG92" i="1"/>
  <c r="AH92" i="1" s="1"/>
  <c r="X110" i="1"/>
  <c r="Y110" i="1" s="1"/>
  <c r="AA31" i="1"/>
  <c r="AB31" i="1" s="1"/>
  <c r="AA94" i="1"/>
  <c r="AB94" i="1" s="1"/>
  <c r="R27" i="1"/>
  <c r="S27" i="1" s="1"/>
  <c r="E124" i="1"/>
  <c r="G124" i="1" s="1"/>
  <c r="AG116" i="1"/>
  <c r="AH116" i="1" s="1"/>
  <c r="O112" i="1"/>
  <c r="P112" i="1" s="1"/>
  <c r="AJ15" i="1"/>
  <c r="AK15" i="1" s="1"/>
  <c r="I20" i="1"/>
  <c r="J20" i="1" s="1"/>
  <c r="AD144" i="1"/>
  <c r="AE144" i="1" s="1"/>
  <c r="I108" i="1"/>
  <c r="J108" i="1" s="1"/>
  <c r="AM12" i="1"/>
  <c r="AA56" i="1"/>
  <c r="AB56" i="1" s="1"/>
  <c r="U35" i="1"/>
  <c r="V35" i="1" s="1"/>
  <c r="AA51" i="1"/>
  <c r="AB51" i="1" s="1"/>
  <c r="AG29" i="1"/>
  <c r="AH29" i="1" s="1"/>
  <c r="E76" i="1"/>
  <c r="G76" i="1" s="1"/>
  <c r="E17" i="1"/>
  <c r="G17" i="1" s="1"/>
  <c r="AG79" i="1"/>
  <c r="AH79" i="1" s="1"/>
  <c r="AA46" i="1"/>
  <c r="AB46" i="1" s="1"/>
  <c r="AG84" i="1"/>
  <c r="AH84" i="1" s="1"/>
  <c r="AP17" i="1"/>
  <c r="AQ17" i="1" s="1"/>
  <c r="AA37" i="1"/>
  <c r="AB37" i="1" s="1"/>
  <c r="AG63" i="1"/>
  <c r="AH63" i="1" s="1"/>
  <c r="AD48" i="1"/>
  <c r="AE48" i="1" s="1"/>
  <c r="X20" i="1"/>
  <c r="Y20" i="1" s="1"/>
  <c r="AJ100" i="1"/>
  <c r="AK100" i="1" s="1"/>
  <c r="AP91" i="1"/>
  <c r="AQ91" i="1" s="1"/>
  <c r="AM14" i="1"/>
  <c r="AN14" i="1" s="1"/>
  <c r="AJ50" i="1"/>
  <c r="AK50" i="1" s="1"/>
  <c r="L30" i="1"/>
  <c r="M30" i="1" s="1"/>
  <c r="AM22" i="1"/>
  <c r="AN22" i="1" s="1"/>
  <c r="R139" i="1"/>
  <c r="S139" i="1" s="1"/>
  <c r="O123" i="1"/>
  <c r="P123" i="1" s="1"/>
  <c r="AD127" i="1"/>
  <c r="AE127" i="1" s="1"/>
  <c r="AD118" i="1"/>
  <c r="AE118" i="1" s="1"/>
  <c r="AA144" i="1"/>
  <c r="AB144" i="1" s="1"/>
  <c r="AP134" i="1"/>
  <c r="AQ134" i="1" s="1"/>
  <c r="AP135" i="1"/>
  <c r="AQ135" i="1" s="1"/>
  <c r="X92" i="1"/>
  <c r="Y92" i="1" s="1"/>
  <c r="AD55" i="1"/>
  <c r="AE55" i="1" s="1"/>
  <c r="AD106" i="1"/>
  <c r="AE106" i="1" s="1"/>
  <c r="U92" i="1"/>
  <c r="V92" i="1" s="1"/>
  <c r="X106" i="1"/>
  <c r="Y106" i="1" s="1"/>
  <c r="L143" i="1"/>
  <c r="M143" i="1" s="1"/>
  <c r="L98" i="1"/>
  <c r="M98" i="1" s="1"/>
  <c r="R98" i="1"/>
  <c r="S98" i="1" s="1"/>
  <c r="I47" i="1"/>
  <c r="J47" i="1" s="1"/>
  <c r="AM99" i="1"/>
  <c r="AN99" i="1" s="1"/>
  <c r="AM88" i="1"/>
  <c r="AN88" i="1" s="1"/>
  <c r="AG44" i="1"/>
  <c r="AH44" i="1" s="1"/>
  <c r="AM127" i="1"/>
  <c r="AN127" i="1" s="1"/>
  <c r="U94" i="1"/>
  <c r="V94" i="1" s="1"/>
  <c r="AA55" i="1"/>
  <c r="AB55" i="1" s="1"/>
  <c r="U19" i="1"/>
  <c r="V19" i="1" s="1"/>
  <c r="I93" i="1"/>
  <c r="J93" i="1" s="1"/>
  <c r="AP85" i="1"/>
  <c r="AQ85" i="1" s="1"/>
  <c r="R101" i="1"/>
  <c r="S101" i="1" s="1"/>
  <c r="U90" i="1"/>
  <c r="V90" i="1" s="1"/>
  <c r="AM27" i="1"/>
  <c r="AN27" i="1" s="1"/>
  <c r="R46" i="1"/>
  <c r="S46" i="1" s="1"/>
  <c r="I70" i="1"/>
  <c r="J70" i="1" s="1"/>
  <c r="AD103" i="1"/>
  <c r="AE103" i="1" s="1"/>
  <c r="AP38" i="1"/>
  <c r="AQ38" i="1" s="1"/>
  <c r="R28" i="1"/>
  <c r="S28" i="1" s="1"/>
  <c r="R90" i="1"/>
  <c r="S90" i="1" s="1"/>
  <c r="AM140" i="1"/>
  <c r="AN140" i="1" s="1"/>
  <c r="AG50" i="1"/>
  <c r="AH50" i="1" s="1"/>
  <c r="X15" i="1"/>
  <c r="Y15" i="1" s="1"/>
  <c r="AJ36" i="1"/>
  <c r="AK36" i="1" s="1"/>
  <c r="AA106" i="1"/>
  <c r="AB106" i="1" s="1"/>
  <c r="AD75" i="1"/>
  <c r="AE75" i="1" s="1"/>
  <c r="AC40" i="1"/>
  <c r="AP34" i="1"/>
  <c r="AQ34" i="1" s="1"/>
  <c r="I144" i="1"/>
  <c r="J144" i="1" s="1"/>
  <c r="U99" i="1"/>
  <c r="V99" i="1" s="1"/>
  <c r="L36" i="1"/>
  <c r="M36" i="1" s="1"/>
  <c r="AA84" i="1"/>
  <c r="AB84" i="1" s="1"/>
  <c r="O101" i="1"/>
  <c r="P101" i="1" s="1"/>
  <c r="X29" i="1"/>
  <c r="Y29" i="1" s="1"/>
  <c r="AG149" i="1"/>
  <c r="AH149" i="1" s="1"/>
  <c r="R82" i="1"/>
  <c r="S82" i="1" s="1"/>
  <c r="I96" i="1"/>
  <c r="J96" i="1" s="1"/>
  <c r="AA107" i="1"/>
  <c r="AB107" i="1" s="1"/>
  <c r="O89" i="1"/>
  <c r="P89" i="1" s="1"/>
  <c r="U111" i="1"/>
  <c r="V111" i="1" s="1"/>
  <c r="AM57" i="1"/>
  <c r="AN57" i="1" s="1"/>
  <c r="AM19" i="1"/>
  <c r="AN19" i="1" s="1"/>
  <c r="E94" i="1"/>
  <c r="G94" i="1" s="1"/>
  <c r="L105" i="1"/>
  <c r="M105" i="1" s="1"/>
  <c r="AM21" i="1"/>
  <c r="AN21" i="1" s="1"/>
  <c r="E34" i="1"/>
  <c r="F34" i="1" s="1"/>
  <c r="AG87" i="1"/>
  <c r="R143" i="1"/>
  <c r="S143" i="1" s="1"/>
  <c r="R122" i="1"/>
  <c r="S122" i="1" s="1"/>
  <c r="L94" i="1"/>
  <c r="M94" i="1" s="1"/>
  <c r="AJ57" i="1"/>
  <c r="AK57" i="1" s="1"/>
  <c r="L12" i="1"/>
  <c r="M12" i="1" s="1"/>
  <c r="R124" i="1"/>
  <c r="S124" i="1" s="1"/>
  <c r="U38" i="1"/>
  <c r="V38" i="1" s="1"/>
  <c r="E84" i="1"/>
  <c r="G84" i="1" s="1"/>
  <c r="AJ120" i="1"/>
  <c r="AK120" i="1" s="1"/>
  <c r="AM128" i="1"/>
  <c r="AN128" i="1" s="1"/>
  <c r="AA149" i="1"/>
  <c r="AB149" i="1" s="1"/>
  <c r="AP124" i="1"/>
  <c r="AQ124" i="1" s="1"/>
  <c r="X55" i="1"/>
  <c r="Y55" i="1" s="1"/>
  <c r="E36" i="1"/>
  <c r="G36" i="1" s="1"/>
  <c r="E72" i="1"/>
  <c r="G72" i="1" s="1"/>
  <c r="E112" i="1"/>
  <c r="G112" i="1" s="1"/>
  <c r="X52" i="1"/>
  <c r="Y52" i="1" s="1"/>
  <c r="AP143" i="1"/>
  <c r="AQ143" i="1" s="1"/>
  <c r="R126" i="1"/>
  <c r="S126" i="1" s="1"/>
  <c r="E25" i="1"/>
  <c r="G25" i="1" s="1"/>
  <c r="E73" i="1"/>
  <c r="G73" i="1" s="1"/>
  <c r="E101" i="1"/>
  <c r="G101" i="1" s="1"/>
  <c r="E113" i="1"/>
  <c r="G113" i="1" s="1"/>
  <c r="E149" i="1"/>
  <c r="G149" i="1" s="1"/>
  <c r="AP100" i="1"/>
  <c r="AQ100" i="1" s="1"/>
  <c r="AA29" i="1"/>
  <c r="AB29" i="1" s="1"/>
  <c r="R35" i="1"/>
  <c r="S35" i="1" s="1"/>
  <c r="U141" i="1"/>
  <c r="V141" i="1" s="1"/>
  <c r="AM151" i="1"/>
  <c r="R22" i="1"/>
  <c r="S22" i="1" s="1"/>
  <c r="AJ35" i="1"/>
  <c r="AK35" i="1" s="1"/>
  <c r="AA39" i="1"/>
  <c r="AB39" i="1" s="1"/>
  <c r="AP139" i="1"/>
  <c r="AP149" i="1"/>
  <c r="AQ149" i="1" s="1"/>
  <c r="AP126" i="1"/>
  <c r="AQ126" i="1" s="1"/>
  <c r="O119" i="1"/>
  <c r="P119" i="1" s="1"/>
  <c r="AM76" i="1"/>
  <c r="AN76" i="1" s="1"/>
  <c r="U100" i="1"/>
  <c r="V100" i="1" s="1"/>
  <c r="U21" i="1"/>
  <c r="V21" i="1" s="1"/>
  <c r="W129" i="1"/>
  <c r="I56" i="1"/>
  <c r="J56" i="1" s="1"/>
  <c r="N102" i="1"/>
  <c r="E139" i="1"/>
  <c r="G139" i="1" s="1"/>
  <c r="AP18" i="1"/>
  <c r="AQ18" i="1" s="1"/>
  <c r="AP77" i="1"/>
  <c r="AQ77" i="1" s="1"/>
  <c r="O87" i="1"/>
  <c r="AJ82" i="1"/>
  <c r="AK82" i="1" s="1"/>
  <c r="R149" i="1"/>
  <c r="S149" i="1" s="1"/>
  <c r="AA91" i="1"/>
  <c r="AB91" i="1" s="1"/>
  <c r="R112" i="1"/>
  <c r="S112" i="1" s="1"/>
  <c r="AP115" i="1"/>
  <c r="AQ115" i="1" s="1"/>
  <c r="L81" i="1"/>
  <c r="M81" i="1" s="1"/>
  <c r="U93" i="1"/>
  <c r="V93" i="1" s="1"/>
  <c r="E122" i="1"/>
  <c r="G122" i="1" s="1"/>
  <c r="O78" i="1"/>
  <c r="P78" i="1" s="1"/>
  <c r="U14" i="1"/>
  <c r="V14" i="1" s="1"/>
  <c r="AJ151" i="1"/>
  <c r="AK151" i="1" s="1"/>
  <c r="AG58" i="1"/>
  <c r="AH58" i="1" s="1"/>
  <c r="AD84" i="1"/>
  <c r="AE84" i="1" s="1"/>
  <c r="AG96" i="1"/>
  <c r="AH96" i="1" s="1"/>
  <c r="AG142" i="1"/>
  <c r="AH142" i="1" s="1"/>
  <c r="L96" i="1"/>
  <c r="M96" i="1" s="1"/>
  <c r="X89" i="1"/>
  <c r="Y89" i="1" s="1"/>
  <c r="I120" i="1"/>
  <c r="J120" i="1" s="1"/>
  <c r="R107" i="1"/>
  <c r="S107" i="1" s="1"/>
  <c r="L35" i="1"/>
  <c r="M35" i="1" s="1"/>
  <c r="I76" i="1"/>
  <c r="J76" i="1" s="1"/>
  <c r="AA152" i="1"/>
  <c r="AB152" i="1" s="1"/>
  <c r="AJ89" i="1"/>
  <c r="AK89" i="1" s="1"/>
  <c r="O144" i="1"/>
  <c r="P144" i="1" s="1"/>
  <c r="AM91" i="1"/>
  <c r="AN91" i="1" s="1"/>
  <c r="I72" i="1"/>
  <c r="J72" i="1" s="1"/>
  <c r="E111" i="1"/>
  <c r="G111" i="1" s="1"/>
  <c r="U140" i="1"/>
  <c r="V140" i="1" s="1"/>
  <c r="R26" i="1"/>
  <c r="S26" i="1" s="1"/>
  <c r="I94" i="1"/>
  <c r="J94" i="1" s="1"/>
  <c r="L144" i="1"/>
  <c r="M144" i="1" s="1"/>
  <c r="AM92" i="1"/>
  <c r="AN92" i="1" s="1"/>
  <c r="AD123" i="1"/>
  <c r="AE123" i="1" s="1"/>
  <c r="AG70" i="1"/>
  <c r="AH70" i="1" s="1"/>
  <c r="AP141" i="1"/>
  <c r="AQ141" i="1" s="1"/>
  <c r="AJ126" i="1"/>
  <c r="AK126" i="1" s="1"/>
  <c r="O143" i="1"/>
  <c r="P143" i="1" s="1"/>
  <c r="AM59" i="1"/>
  <c r="AN59" i="1" s="1"/>
  <c r="L24" i="1"/>
  <c r="M24" i="1" s="1"/>
  <c r="AM35" i="1"/>
  <c r="AN35" i="1" s="1"/>
  <c r="U29" i="1"/>
  <c r="V29" i="1" s="1"/>
  <c r="AP101" i="1"/>
  <c r="AQ101" i="1" s="1"/>
  <c r="U45" i="1"/>
  <c r="V45" i="1" s="1"/>
  <c r="AG36" i="1"/>
  <c r="AH36" i="1" s="1"/>
  <c r="O45" i="1"/>
  <c r="P45" i="1" s="1"/>
  <c r="L141" i="1"/>
  <c r="M141" i="1" s="1"/>
  <c r="AG37" i="1"/>
  <c r="AH37" i="1" s="1"/>
  <c r="X127" i="1"/>
  <c r="Y127" i="1" s="1"/>
  <c r="AA120" i="1"/>
  <c r="AB120" i="1" s="1"/>
  <c r="X75" i="1"/>
  <c r="Y75" i="1" s="1"/>
  <c r="AD117" i="1"/>
  <c r="AE117" i="1" s="1"/>
  <c r="R20" i="1"/>
  <c r="S20" i="1" s="1"/>
  <c r="AI129" i="1"/>
  <c r="E26" i="1"/>
  <c r="G26" i="1" s="1"/>
  <c r="E57" i="1"/>
  <c r="G57" i="1" s="1"/>
  <c r="E103" i="1"/>
  <c r="AD56" i="1"/>
  <c r="AE56" i="1" s="1"/>
  <c r="O149" i="1"/>
  <c r="P149" i="1" s="1"/>
  <c r="AP37" i="1"/>
  <c r="AQ37" i="1" s="1"/>
  <c r="AG17" i="1"/>
  <c r="AH17" i="1" s="1"/>
  <c r="O71" i="1"/>
  <c r="P71" i="1" s="1"/>
  <c r="AM46" i="1"/>
  <c r="AN46" i="1" s="1"/>
  <c r="AD37" i="1"/>
  <c r="AE37" i="1" s="1"/>
  <c r="L46" i="1"/>
  <c r="M46" i="1" s="1"/>
  <c r="U144" i="1"/>
  <c r="V144" i="1" s="1"/>
  <c r="I39" i="1"/>
  <c r="J39" i="1" s="1"/>
  <c r="AA140" i="1"/>
  <c r="AB140" i="1" s="1"/>
  <c r="AM121" i="1"/>
  <c r="AN121" i="1" s="1"/>
  <c r="U51" i="1"/>
  <c r="V51" i="1" s="1"/>
  <c r="AA36" i="1"/>
  <c r="AB36" i="1" s="1"/>
  <c r="L19" i="1"/>
  <c r="M19" i="1" s="1"/>
  <c r="AJ107" i="1"/>
  <c r="AK107" i="1" s="1"/>
  <c r="Z129" i="1"/>
  <c r="AO33" i="1"/>
  <c r="AO64" i="1"/>
  <c r="AI145" i="1"/>
  <c r="K40" i="1"/>
  <c r="K114" i="1"/>
  <c r="N64" i="1"/>
  <c r="AF23" i="1"/>
  <c r="AI23" i="1"/>
  <c r="AI33" i="1"/>
  <c r="Z145" i="1"/>
  <c r="AC102" i="1"/>
  <c r="T40" i="1"/>
  <c r="H86" i="1"/>
  <c r="H33" i="1"/>
  <c r="AI86" i="1"/>
  <c r="AL86" i="1"/>
  <c r="AO145" i="1"/>
  <c r="AF145" i="1"/>
  <c r="H137" i="1"/>
  <c r="AL102" i="1"/>
  <c r="T150" i="1"/>
  <c r="K145" i="1"/>
  <c r="K86" i="1"/>
  <c r="Q153" i="1"/>
  <c r="Q154" i="1" s="1"/>
  <c r="K150" i="1"/>
  <c r="AF33" i="1"/>
  <c r="AF137" i="1"/>
  <c r="Q137" i="1"/>
  <c r="AC114" i="1"/>
  <c r="T33" i="1"/>
  <c r="AF102" i="1"/>
  <c r="AF64" i="1"/>
  <c r="AF65" i="1" s="1"/>
  <c r="Q145" i="1"/>
  <c r="W40" i="1"/>
  <c r="AI64" i="1"/>
  <c r="AI65" i="1" s="1"/>
  <c r="AF114" i="1"/>
  <c r="Q33" i="1"/>
  <c r="H40" i="1"/>
  <c r="W64" i="1"/>
  <c r="AL129" i="1"/>
  <c r="Q129" i="1"/>
  <c r="AL64" i="1"/>
  <c r="N86" i="1"/>
  <c r="W145" i="1"/>
  <c r="Z64" i="1"/>
  <c r="AL23" i="1"/>
  <c r="AO23" i="1"/>
  <c r="H129" i="1"/>
  <c r="AI137" i="1"/>
  <c r="AC129" i="1"/>
  <c r="Z86" i="1"/>
  <c r="K53" i="1"/>
  <c r="T64" i="1"/>
  <c r="Q86" i="1"/>
  <c r="Z23" i="1"/>
  <c r="AF129" i="1"/>
  <c r="K102" i="1"/>
  <c r="T102" i="1"/>
  <c r="Q102" i="1"/>
  <c r="K64" i="1"/>
  <c r="Q114" i="1"/>
  <c r="Z102" i="1"/>
  <c r="T137" i="1"/>
  <c r="N129" i="1"/>
  <c r="AC64" i="1"/>
  <c r="AO114" i="1"/>
  <c r="AL40" i="1"/>
  <c r="Q150" i="1"/>
  <c r="AF40" i="1"/>
  <c r="W86" i="1"/>
  <c r="H114" i="1"/>
  <c r="T86" i="1"/>
  <c r="N114" i="1"/>
  <c r="AO129" i="1"/>
  <c r="N23" i="1"/>
  <c r="AC145" i="1"/>
  <c r="AC86" i="1"/>
  <c r="AI102" i="1"/>
  <c r="K137" i="1"/>
  <c r="H64" i="1"/>
  <c r="H65" i="1" s="1"/>
  <c r="H23" i="1"/>
  <c r="AL53" i="1"/>
  <c r="K23" i="1"/>
  <c r="K41" i="1" s="1"/>
  <c r="Q40" i="1"/>
  <c r="Q23" i="1"/>
  <c r="Q41" i="1" s="1"/>
  <c r="Z40" i="1"/>
  <c r="AI114" i="1"/>
  <c r="N145" i="1"/>
  <c r="N65" i="1"/>
  <c r="AO53" i="1"/>
  <c r="AO102" i="1"/>
  <c r="Z114" i="1"/>
  <c r="W53" i="1"/>
  <c r="T114" i="1"/>
  <c r="T130" i="1" s="1"/>
  <c r="AC53" i="1"/>
  <c r="AC65" i="1" s="1"/>
  <c r="H153" i="1"/>
  <c r="H154" i="1" s="1"/>
  <c r="W41" i="1"/>
  <c r="AL137" i="1"/>
  <c r="AO40" i="1"/>
  <c r="AL145" i="1"/>
  <c r="N40" i="1"/>
  <c r="N53" i="1"/>
  <c r="K129" i="1"/>
  <c r="H145" i="1"/>
  <c r="N137" i="1"/>
  <c r="T53" i="1"/>
  <c r="AO153" i="1"/>
  <c r="AO154" i="1" s="1"/>
  <c r="F152" i="1"/>
  <c r="AD145" i="1"/>
  <c r="AE145" i="1" s="1"/>
  <c r="S148" i="1"/>
  <c r="P44" i="1"/>
  <c r="P12" i="1"/>
  <c r="AE115" i="1"/>
  <c r="V44" i="1"/>
  <c r="AK87" i="1"/>
  <c r="AH13" i="1"/>
  <c r="AB54" i="1"/>
  <c r="S134" i="1"/>
  <c r="AA145" i="1"/>
  <c r="AB145" i="1" s="1"/>
  <c r="AK44" i="1"/>
  <c r="V55" i="1"/>
  <c r="AP153" i="1"/>
  <c r="AQ151" i="1"/>
  <c r="P103" i="1"/>
  <c r="Y148" i="1"/>
  <c r="AN115" i="1"/>
  <c r="S70" i="1"/>
  <c r="M148" i="1"/>
  <c r="AK34" i="1"/>
  <c r="AN139" i="1"/>
  <c r="J151" i="1"/>
  <c r="AN151" i="1"/>
  <c r="AK24" i="1"/>
  <c r="E153" i="1"/>
  <c r="E154" i="1" s="1"/>
  <c r="F151" i="1"/>
  <c r="D153" i="1"/>
  <c r="D154" i="1" s="1"/>
  <c r="G152" i="1"/>
  <c r="G151" i="1"/>
  <c r="D150" i="1"/>
  <c r="D145" i="1"/>
  <c r="F143" i="1"/>
  <c r="F141" i="1"/>
  <c r="D137" i="1"/>
  <c r="D129" i="1"/>
  <c r="D114" i="1"/>
  <c r="D102" i="1"/>
  <c r="D86" i="1"/>
  <c r="D64" i="1"/>
  <c r="F58" i="1"/>
  <c r="D53" i="1"/>
  <c r="F52" i="1"/>
  <c r="F44" i="1"/>
  <c r="D40" i="1"/>
  <c r="D33" i="1"/>
  <c r="D23" i="1"/>
  <c r="AE148" i="1" l="1"/>
  <c r="F139" i="1"/>
  <c r="F78" i="1"/>
  <c r="F80" i="1"/>
  <c r="F98" i="1"/>
  <c r="F19" i="1"/>
  <c r="F72" i="1"/>
  <c r="F31" i="1"/>
  <c r="F22" i="1"/>
  <c r="F32" i="1"/>
  <c r="F82" i="1"/>
  <c r="AL65" i="1"/>
  <c r="X145" i="1"/>
  <c r="Y145" i="1" s="1"/>
  <c r="Q65" i="1"/>
  <c r="Q67" i="1" s="1"/>
  <c r="F135" i="1"/>
  <c r="AO41" i="1"/>
  <c r="Y139" i="1"/>
  <c r="AG137" i="1"/>
  <c r="AH137" i="1" s="1"/>
  <c r="AC41" i="1"/>
  <c r="F94" i="1"/>
  <c r="AF130" i="1"/>
  <c r="AI41" i="1"/>
  <c r="AI67" i="1" s="1"/>
  <c r="AM23" i="1"/>
  <c r="AN23" i="1" s="1"/>
  <c r="AD102" i="1"/>
  <c r="AE102" i="1" s="1"/>
  <c r="U150" i="1"/>
  <c r="V150" i="1" s="1"/>
  <c r="AI130" i="1"/>
  <c r="X150" i="1"/>
  <c r="Y150" i="1" s="1"/>
  <c r="AG150" i="1"/>
  <c r="AH150" i="1" s="1"/>
  <c r="X64" i="1"/>
  <c r="Y64" i="1" s="1"/>
  <c r="F15" i="1"/>
  <c r="AG86" i="1"/>
  <c r="AH86" i="1" s="1"/>
  <c r="AG102" i="1"/>
  <c r="AH102" i="1" s="1"/>
  <c r="W130" i="1"/>
  <c r="Z65" i="1"/>
  <c r="U137" i="1"/>
  <c r="V137" i="1" s="1"/>
  <c r="R33" i="1"/>
  <c r="S33" i="1" s="1"/>
  <c r="F104" i="1"/>
  <c r="K65" i="1"/>
  <c r="R137" i="1"/>
  <c r="S137" i="1" s="1"/>
  <c r="F36" i="1"/>
  <c r="F95" i="1"/>
  <c r="AE87" i="1"/>
  <c r="X33" i="1"/>
  <c r="Y33" i="1" s="1"/>
  <c r="I40" i="1"/>
  <c r="J40" i="1" s="1"/>
  <c r="AP150" i="1"/>
  <c r="AQ150" i="1" s="1"/>
  <c r="AF41" i="1"/>
  <c r="AF67" i="1" s="1"/>
  <c r="S24" i="1"/>
  <c r="L40" i="1"/>
  <c r="M40" i="1" s="1"/>
  <c r="L145" i="1"/>
  <c r="M145" i="1" s="1"/>
  <c r="AH134" i="1"/>
  <c r="W65" i="1"/>
  <c r="W67" i="1" s="1"/>
  <c r="W132" i="1" s="1"/>
  <c r="W156" i="1" s="1"/>
  <c r="AM53" i="1"/>
  <c r="AN53" i="1" s="1"/>
  <c r="AL130" i="1"/>
  <c r="F117" i="1"/>
  <c r="AJ86" i="1"/>
  <c r="AK86" i="1" s="1"/>
  <c r="AN12" i="1"/>
  <c r="Y54" i="1"/>
  <c r="AP53" i="1"/>
  <c r="AQ53" i="1" s="1"/>
  <c r="AA53" i="1"/>
  <c r="AB53" i="1" s="1"/>
  <c r="R40" i="1"/>
  <c r="S40" i="1" s="1"/>
  <c r="AA150" i="1"/>
  <c r="AB150" i="1" s="1"/>
  <c r="M139" i="1"/>
  <c r="Z130" i="1"/>
  <c r="Z132" i="1" s="1"/>
  <c r="Z156" i="1" s="1"/>
  <c r="O33" i="1"/>
  <c r="P33" i="1" s="1"/>
  <c r="AA102" i="1"/>
  <c r="AB102" i="1" s="1"/>
  <c r="AP64" i="1"/>
  <c r="AQ64" i="1" s="1"/>
  <c r="AM150" i="1"/>
  <c r="AN150" i="1" s="1"/>
  <c r="AJ153" i="1"/>
  <c r="AK153" i="1" s="1"/>
  <c r="R102" i="1"/>
  <c r="S102" i="1" s="1"/>
  <c r="I129" i="1"/>
  <c r="J129" i="1" s="1"/>
  <c r="AJ150" i="1"/>
  <c r="AK150" i="1" s="1"/>
  <c r="AL41" i="1"/>
  <c r="H41" i="1"/>
  <c r="AG53" i="1"/>
  <c r="AH53" i="1" s="1"/>
  <c r="X129" i="1"/>
  <c r="Y129" i="1" s="1"/>
  <c r="T41" i="1"/>
  <c r="T67" i="1" s="1"/>
  <c r="T132" i="1" s="1"/>
  <c r="T156" i="1" s="1"/>
  <c r="O102" i="1"/>
  <c r="P102" i="1" s="1"/>
  <c r="AA129" i="1"/>
  <c r="AB129" i="1" s="1"/>
  <c r="AM153" i="1"/>
  <c r="L129" i="1"/>
  <c r="M129" i="1" s="1"/>
  <c r="AA86" i="1"/>
  <c r="AB86" i="1" s="1"/>
  <c r="J152" i="1"/>
  <c r="H67" i="1"/>
  <c r="AG40" i="1"/>
  <c r="AH40" i="1" s="1"/>
  <c r="AM102" i="1"/>
  <c r="AN102" i="1" s="1"/>
  <c r="L137" i="1"/>
  <c r="M137" i="1" s="1"/>
  <c r="U153" i="1"/>
  <c r="V153" i="1" s="1"/>
  <c r="AP145" i="1"/>
  <c r="AQ145" i="1" s="1"/>
  <c r="AJ129" i="1"/>
  <c r="AK129" i="1" s="1"/>
  <c r="R145" i="1"/>
  <c r="S145" i="1" s="1"/>
  <c r="O153" i="1"/>
  <c r="AD23" i="1"/>
  <c r="O86" i="1"/>
  <c r="AC130" i="1"/>
  <c r="F61" i="1"/>
  <c r="U145" i="1"/>
  <c r="V145" i="1" s="1"/>
  <c r="AP86" i="1"/>
  <c r="X53" i="1"/>
  <c r="Y53" i="1" s="1"/>
  <c r="I64" i="1"/>
  <c r="J64" i="1" s="1"/>
  <c r="AM145" i="1"/>
  <c r="AN145" i="1" s="1"/>
  <c r="AJ145" i="1"/>
  <c r="AK145" i="1" s="1"/>
  <c r="L86" i="1"/>
  <c r="M86" i="1" s="1"/>
  <c r="I102" i="1"/>
  <c r="J102" i="1" s="1"/>
  <c r="T65" i="1"/>
  <c r="F51" i="1"/>
  <c r="G115" i="1"/>
  <c r="O40" i="1"/>
  <c r="P40" i="1" s="1"/>
  <c r="H130" i="1"/>
  <c r="L150" i="1"/>
  <c r="M150" i="1" s="1"/>
  <c r="AA33" i="1"/>
  <c r="AB33" i="1" s="1"/>
  <c r="AP137" i="1"/>
  <c r="AQ137" i="1" s="1"/>
  <c r="F20" i="1"/>
  <c r="O53" i="1"/>
  <c r="N41" i="1"/>
  <c r="N67" i="1" s="1"/>
  <c r="N130" i="1"/>
  <c r="AA153" i="1"/>
  <c r="AA154" i="1" s="1"/>
  <c r="AB154" i="1" s="1"/>
  <c r="AJ114" i="1"/>
  <c r="AK114" i="1" s="1"/>
  <c r="I114" i="1"/>
  <c r="J114" i="1" s="1"/>
  <c r="Q130" i="1"/>
  <c r="F54" i="1"/>
  <c r="F142" i="1"/>
  <c r="F21" i="1"/>
  <c r="F60" i="1"/>
  <c r="F123" i="1"/>
  <c r="F56" i="1"/>
  <c r="F63" i="1"/>
  <c r="F106" i="1"/>
  <c r="F99" i="1"/>
  <c r="F108" i="1"/>
  <c r="F71" i="1"/>
  <c r="F112" i="1"/>
  <c r="F35" i="1"/>
  <c r="F75" i="1"/>
  <c r="F79" i="1"/>
  <c r="F113" i="1"/>
  <c r="F16" i="1"/>
  <c r="F45" i="1"/>
  <c r="F96" i="1"/>
  <c r="F119" i="1"/>
  <c r="F17" i="1"/>
  <c r="F46" i="1"/>
  <c r="F97" i="1"/>
  <c r="F121" i="1"/>
  <c r="E40" i="1"/>
  <c r="G40" i="1" s="1"/>
  <c r="F107" i="1"/>
  <c r="E114" i="1"/>
  <c r="G114" i="1" s="1"/>
  <c r="F88" i="1"/>
  <c r="F93" i="1"/>
  <c r="F49" i="1"/>
  <c r="F124" i="1"/>
  <c r="F110" i="1"/>
  <c r="F90" i="1"/>
  <c r="F62" i="1"/>
  <c r="F18" i="1"/>
  <c r="F47" i="1"/>
  <c r="F50" i="1"/>
  <c r="F74" i="1"/>
  <c r="F100" i="1"/>
  <c r="F125" i="1"/>
  <c r="F126" i="1"/>
  <c r="F122" i="1"/>
  <c r="AP114" i="1"/>
  <c r="AQ114" i="1" s="1"/>
  <c r="U23" i="1"/>
  <c r="V23" i="1" s="1"/>
  <c r="U114" i="1"/>
  <c r="V114" i="1" s="1"/>
  <c r="AQ54" i="1"/>
  <c r="AA114" i="1"/>
  <c r="AB114" i="1" s="1"/>
  <c r="R129" i="1"/>
  <c r="S129" i="1" s="1"/>
  <c r="F48" i="1"/>
  <c r="F81" i="1"/>
  <c r="F109" i="1"/>
  <c r="F140" i="1"/>
  <c r="U40" i="1"/>
  <c r="V40" i="1" s="1"/>
  <c r="O150" i="1"/>
  <c r="P150" i="1" s="1"/>
  <c r="AP33" i="1"/>
  <c r="AQ33" i="1" s="1"/>
  <c r="L102" i="1"/>
  <c r="M102" i="1" s="1"/>
  <c r="AM40" i="1"/>
  <c r="AN40" i="1" s="1"/>
  <c r="R153" i="1"/>
  <c r="E33" i="1"/>
  <c r="G33" i="1" s="1"/>
  <c r="I145" i="1"/>
  <c r="J145" i="1" s="1"/>
  <c r="F84" i="1"/>
  <c r="U33" i="1"/>
  <c r="V33" i="1" s="1"/>
  <c r="F144" i="1"/>
  <c r="AP129" i="1"/>
  <c r="AQ129" i="1" s="1"/>
  <c r="I86" i="1"/>
  <c r="E145" i="1"/>
  <c r="G145" i="1" s="1"/>
  <c r="Y44" i="1"/>
  <c r="AG145" i="1"/>
  <c r="AH145" i="1" s="1"/>
  <c r="AG114" i="1"/>
  <c r="AH114" i="1" s="1"/>
  <c r="R53" i="1"/>
  <c r="I137" i="1"/>
  <c r="J137" i="1" s="1"/>
  <c r="AE12" i="1"/>
  <c r="G103" i="1"/>
  <c r="X114" i="1"/>
  <c r="Y114" i="1" s="1"/>
  <c r="AD137" i="1"/>
  <c r="AE137" i="1" s="1"/>
  <c r="O137" i="1"/>
  <c r="P137" i="1" s="1"/>
  <c r="F39" i="1"/>
  <c r="E102" i="1"/>
  <c r="G102" i="1" s="1"/>
  <c r="AK115" i="1"/>
  <c r="R114" i="1"/>
  <c r="S114" i="1" s="1"/>
  <c r="F55" i="1"/>
  <c r="P24" i="1"/>
  <c r="M134" i="1"/>
  <c r="I150" i="1"/>
  <c r="J150" i="1" s="1"/>
  <c r="AA137" i="1"/>
  <c r="AB137" i="1" s="1"/>
  <c r="G24" i="1"/>
  <c r="AD40" i="1"/>
  <c r="AE40" i="1" s="1"/>
  <c r="O64" i="1"/>
  <c r="P64" i="1" s="1"/>
  <c r="E64" i="1"/>
  <c r="G64" i="1" s="1"/>
  <c r="AD33" i="1"/>
  <c r="AE33" i="1" s="1"/>
  <c r="O114" i="1"/>
  <c r="P114" i="1" s="1"/>
  <c r="AA64" i="1"/>
  <c r="AB64" i="1" s="1"/>
  <c r="X153" i="1"/>
  <c r="X154" i="1" s="1"/>
  <c r="Y154" i="1" s="1"/>
  <c r="F127" i="1"/>
  <c r="AJ102" i="1"/>
  <c r="AK102" i="1" s="1"/>
  <c r="F70" i="1"/>
  <c r="AD86" i="1"/>
  <c r="P151" i="1"/>
  <c r="L53" i="1"/>
  <c r="L65" i="1" s="1"/>
  <c r="M65" i="1" s="1"/>
  <c r="F37" i="1"/>
  <c r="E86" i="1"/>
  <c r="F86" i="1" s="1"/>
  <c r="AJ53" i="1"/>
  <c r="AK53" i="1" s="1"/>
  <c r="AD53" i="1"/>
  <c r="AE53" i="1" s="1"/>
  <c r="U86" i="1"/>
  <c r="F148" i="1"/>
  <c r="AJ64" i="1"/>
  <c r="AK64" i="1" s="1"/>
  <c r="U102" i="1"/>
  <c r="V102" i="1" s="1"/>
  <c r="AM64" i="1"/>
  <c r="AN64" i="1" s="1"/>
  <c r="I53" i="1"/>
  <c r="J53" i="1" s="1"/>
  <c r="U53" i="1"/>
  <c r="M70" i="1"/>
  <c r="F87" i="1"/>
  <c r="AK139" i="1"/>
  <c r="G12" i="1"/>
  <c r="F116" i="1"/>
  <c r="L33" i="1"/>
  <c r="M33" i="1" s="1"/>
  <c r="R23" i="1"/>
  <c r="AM114" i="1"/>
  <c r="AN114" i="1" s="1"/>
  <c r="AO130" i="1"/>
  <c r="G34" i="1"/>
  <c r="F103" i="1"/>
  <c r="E150" i="1"/>
  <c r="G150" i="1" s="1"/>
  <c r="AP40" i="1"/>
  <c r="AQ40" i="1" s="1"/>
  <c r="AJ40" i="1"/>
  <c r="AK40" i="1" s="1"/>
  <c r="O145" i="1"/>
  <c r="P145" i="1" s="1"/>
  <c r="AB151" i="1"/>
  <c r="AQ139" i="1"/>
  <c r="V151" i="1"/>
  <c r="R64" i="1"/>
  <c r="S64" i="1" s="1"/>
  <c r="AM137" i="1"/>
  <c r="AN137" i="1" s="1"/>
  <c r="AP102" i="1"/>
  <c r="AQ102" i="1" s="1"/>
  <c r="AQ87" i="1"/>
  <c r="AD64" i="1"/>
  <c r="AE64" i="1" s="1"/>
  <c r="F83" i="1"/>
  <c r="L23" i="1"/>
  <c r="M23" i="1" s="1"/>
  <c r="AA23" i="1"/>
  <c r="AB23" i="1" s="1"/>
  <c r="F85" i="1"/>
  <c r="AJ33" i="1"/>
  <c r="AK33" i="1" s="1"/>
  <c r="AB87" i="1"/>
  <c r="O23" i="1"/>
  <c r="O41" i="1" s="1"/>
  <c r="F101" i="1"/>
  <c r="F38" i="1"/>
  <c r="E129" i="1"/>
  <c r="G129" i="1" s="1"/>
  <c r="AM86" i="1"/>
  <c r="AN86" i="1" s="1"/>
  <c r="J54" i="1"/>
  <c r="F26" i="1"/>
  <c r="F27" i="1"/>
  <c r="F89" i="1"/>
  <c r="AH34" i="1"/>
  <c r="AH87" i="1"/>
  <c r="X102" i="1"/>
  <c r="Y102" i="1" s="1"/>
  <c r="AG33" i="1"/>
  <c r="AH33" i="1" s="1"/>
  <c r="V148" i="1"/>
  <c r="F13" i="1"/>
  <c r="F28" i="1"/>
  <c r="F57" i="1"/>
  <c r="F76" i="1"/>
  <c r="F118" i="1"/>
  <c r="F136" i="1"/>
  <c r="X137" i="1"/>
  <c r="Y137" i="1" s="1"/>
  <c r="AG64" i="1"/>
  <c r="AH64" i="1" s="1"/>
  <c r="P87" i="1"/>
  <c r="R86" i="1"/>
  <c r="S86" i="1" s="1"/>
  <c r="AQ70" i="1"/>
  <c r="AN148" i="1"/>
  <c r="J103" i="1"/>
  <c r="V134" i="1"/>
  <c r="O129" i="1"/>
  <c r="P129" i="1" s="1"/>
  <c r="F14" i="1"/>
  <c r="F29" i="1"/>
  <c r="F77" i="1"/>
  <c r="F91" i="1"/>
  <c r="F105" i="1"/>
  <c r="E137" i="1"/>
  <c r="G137" i="1" s="1"/>
  <c r="AH148" i="1"/>
  <c r="AJ137" i="1"/>
  <c r="AK137" i="1" s="1"/>
  <c r="AP23" i="1"/>
  <c r="AK103" i="1"/>
  <c r="L153" i="1"/>
  <c r="M153" i="1" s="1"/>
  <c r="AJ23" i="1"/>
  <c r="AG129" i="1"/>
  <c r="AH129" i="1" s="1"/>
  <c r="AO65" i="1"/>
  <c r="AO67" i="1" s="1"/>
  <c r="AG23" i="1"/>
  <c r="AH23" i="1" s="1"/>
  <c r="F111" i="1"/>
  <c r="AD114" i="1"/>
  <c r="AE114" i="1" s="1"/>
  <c r="I33" i="1"/>
  <c r="J33" i="1" s="1"/>
  <c r="AM33" i="1"/>
  <c r="AN33" i="1" s="1"/>
  <c r="E53" i="1"/>
  <c r="G53" i="1" s="1"/>
  <c r="F128" i="1"/>
  <c r="L64" i="1"/>
  <c r="M64" i="1" s="1"/>
  <c r="E23" i="1"/>
  <c r="F23" i="1" s="1"/>
  <c r="U129" i="1"/>
  <c r="V129" i="1" s="1"/>
  <c r="AA40" i="1"/>
  <c r="AB40" i="1" s="1"/>
  <c r="K130" i="1"/>
  <c r="AD153" i="1"/>
  <c r="AD154" i="1" s="1"/>
  <c r="AE154" i="1" s="1"/>
  <c r="F25" i="1"/>
  <c r="F73" i="1"/>
  <c r="AM129" i="1"/>
  <c r="AN129" i="1" s="1"/>
  <c r="I23" i="1"/>
  <c r="X23" i="1"/>
  <c r="AG153" i="1"/>
  <c r="AG154" i="1" s="1"/>
  <c r="AH154" i="1" s="1"/>
  <c r="R150" i="1"/>
  <c r="S150" i="1" s="1"/>
  <c r="Z41" i="1"/>
  <c r="Z67" i="1" s="1"/>
  <c r="F134" i="1"/>
  <c r="F149" i="1"/>
  <c r="U64" i="1"/>
  <c r="V64" i="1" s="1"/>
  <c r="X86" i="1"/>
  <c r="AD129" i="1"/>
  <c r="AE129" i="1" s="1"/>
  <c r="X40" i="1"/>
  <c r="Y40" i="1" s="1"/>
  <c r="F30" i="1"/>
  <c r="F59" i="1"/>
  <c r="F92" i="1"/>
  <c r="F120" i="1"/>
  <c r="L114" i="1"/>
  <c r="M114" i="1" s="1"/>
  <c r="AC67" i="1"/>
  <c r="AC132" i="1" s="1"/>
  <c r="AC156" i="1" s="1"/>
  <c r="K67" i="1"/>
  <c r="V53" i="1"/>
  <c r="AM154" i="1"/>
  <c r="AN154" i="1" s="1"/>
  <c r="AN153" i="1"/>
  <c r="AQ86" i="1"/>
  <c r="AM65" i="1"/>
  <c r="AN65" i="1" s="1"/>
  <c r="O154" i="1"/>
  <c r="P154" i="1" s="1"/>
  <c r="P153" i="1"/>
  <c r="I154" i="1"/>
  <c r="J154" i="1" s="1"/>
  <c r="J153" i="1"/>
  <c r="AH153" i="1"/>
  <c r="AP154" i="1"/>
  <c r="AQ154" i="1" s="1"/>
  <c r="AQ153" i="1"/>
  <c r="AE23" i="1"/>
  <c r="F154" i="1"/>
  <c r="G154" i="1"/>
  <c r="F153" i="1"/>
  <c r="G153" i="1"/>
  <c r="D130" i="1"/>
  <c r="D65" i="1"/>
  <c r="D41" i="1"/>
  <c r="F137" i="1" l="1"/>
  <c r="AJ154" i="1"/>
  <c r="AK154" i="1" s="1"/>
  <c r="AI132" i="1"/>
  <c r="AI156" i="1" s="1"/>
  <c r="AF132" i="1"/>
  <c r="AF156" i="1" s="1"/>
  <c r="Q132" i="1"/>
  <c r="Q156" i="1" s="1"/>
  <c r="O130" i="1"/>
  <c r="P130" i="1" s="1"/>
  <c r="U65" i="1"/>
  <c r="V65" i="1" s="1"/>
  <c r="AL67" i="1"/>
  <c r="AL132" i="1" s="1"/>
  <c r="AL156" i="1" s="1"/>
  <c r="H132" i="1"/>
  <c r="H156" i="1" s="1"/>
  <c r="N132" i="1"/>
  <c r="N156" i="1" s="1"/>
  <c r="AA65" i="1"/>
  <c r="AB65" i="1" s="1"/>
  <c r="O65" i="1"/>
  <c r="P65" i="1" s="1"/>
  <c r="AG41" i="1"/>
  <c r="AH41" i="1" s="1"/>
  <c r="R65" i="1"/>
  <c r="S65" i="1" s="1"/>
  <c r="R41" i="1"/>
  <c r="R67" i="1" s="1"/>
  <c r="Y153" i="1"/>
  <c r="P23" i="1"/>
  <c r="X41" i="1"/>
  <c r="Y41" i="1" s="1"/>
  <c r="U130" i="1"/>
  <c r="V130" i="1" s="1"/>
  <c r="I41" i="1"/>
  <c r="I67" i="1" s="1"/>
  <c r="G23" i="1"/>
  <c r="U154" i="1"/>
  <c r="V154" i="1" s="1"/>
  <c r="P86" i="1"/>
  <c r="X65" i="1"/>
  <c r="Y65" i="1" s="1"/>
  <c r="AO132" i="1"/>
  <c r="AO156" i="1" s="1"/>
  <c r="AD41" i="1"/>
  <c r="Y23" i="1"/>
  <c r="I130" i="1"/>
  <c r="J130" i="1" s="1"/>
  <c r="J23" i="1"/>
  <c r="AP65" i="1"/>
  <c r="AQ65" i="1" s="1"/>
  <c r="AJ41" i="1"/>
  <c r="V86" i="1"/>
  <c r="S53" i="1"/>
  <c r="P53" i="1"/>
  <c r="U41" i="1"/>
  <c r="U67" i="1" s="1"/>
  <c r="AP41" i="1"/>
  <c r="AP67" i="1" s="1"/>
  <c r="AB153" i="1"/>
  <c r="J86" i="1"/>
  <c r="AQ23" i="1"/>
  <c r="AD130" i="1"/>
  <c r="AE130" i="1" s="1"/>
  <c r="X130" i="1"/>
  <c r="Y130" i="1" s="1"/>
  <c r="AJ130" i="1"/>
  <c r="AK130" i="1" s="1"/>
  <c r="F150" i="1"/>
  <c r="F40" i="1"/>
  <c r="F53" i="1"/>
  <c r="F64" i="1"/>
  <c r="E65" i="1"/>
  <c r="G65" i="1" s="1"/>
  <c r="F114" i="1"/>
  <c r="E41" i="1"/>
  <c r="G41" i="1" s="1"/>
  <c r="F145" i="1"/>
  <c r="AD65" i="1"/>
  <c r="AE65" i="1" s="1"/>
  <c r="AE153" i="1"/>
  <c r="S23" i="1"/>
  <c r="AP130" i="1"/>
  <c r="AQ130" i="1" s="1"/>
  <c r="M53" i="1"/>
  <c r="AM130" i="1"/>
  <c r="AN130" i="1" s="1"/>
  <c r="AA41" i="1"/>
  <c r="AJ65" i="1"/>
  <c r="AK65" i="1" s="1"/>
  <c r="K132" i="1"/>
  <c r="K156" i="1" s="1"/>
  <c r="F129" i="1"/>
  <c r="AM41" i="1"/>
  <c r="AN41" i="1" s="1"/>
  <c r="AE86" i="1"/>
  <c r="AK23" i="1"/>
  <c r="Y86" i="1"/>
  <c r="S153" i="1"/>
  <c r="R154" i="1"/>
  <c r="S154" i="1" s="1"/>
  <c r="AG65" i="1"/>
  <c r="AH65" i="1" s="1"/>
  <c r="AG130" i="1"/>
  <c r="AH130" i="1" s="1"/>
  <c r="F102" i="1"/>
  <c r="R130" i="1"/>
  <c r="S130" i="1" s="1"/>
  <c r="E130" i="1"/>
  <c r="G130" i="1" s="1"/>
  <c r="I65" i="1"/>
  <c r="J65" i="1" s="1"/>
  <c r="G86" i="1"/>
  <c r="L41" i="1"/>
  <c r="L154" i="1"/>
  <c r="M154" i="1" s="1"/>
  <c r="L130" i="1"/>
  <c r="M130" i="1" s="1"/>
  <c r="F33" i="1"/>
  <c r="AA130" i="1"/>
  <c r="AB130" i="1" s="1"/>
  <c r="O67" i="1"/>
  <c r="P41" i="1"/>
  <c r="AE41" i="1"/>
  <c r="AD67" i="1"/>
  <c r="AK41" i="1"/>
  <c r="X67" i="1"/>
  <c r="L67" i="1"/>
  <c r="M41" i="1"/>
  <c r="D67" i="1"/>
  <c r="D132" i="1" s="1"/>
  <c r="D156" i="1" s="1"/>
  <c r="S41" i="1" l="1"/>
  <c r="J41" i="1"/>
  <c r="AM67" i="1"/>
  <c r="AA67" i="1"/>
  <c r="AA132" i="1" s="1"/>
  <c r="AQ41" i="1"/>
  <c r="AG67" i="1"/>
  <c r="V41" i="1"/>
  <c r="F65" i="1"/>
  <c r="F130" i="1"/>
  <c r="F41" i="1"/>
  <c r="E67" i="1"/>
  <c r="E132" i="1" s="1"/>
  <c r="F132" i="1" s="1"/>
  <c r="AJ67" i="1"/>
  <c r="AK67" i="1" s="1"/>
  <c r="AB41" i="1"/>
  <c r="U132" i="1"/>
  <c r="V67" i="1"/>
  <c r="X132" i="1"/>
  <c r="Y67" i="1"/>
  <c r="R132" i="1"/>
  <c r="S67" i="1"/>
  <c r="AJ132" i="1"/>
  <c r="AE67" i="1"/>
  <c r="AD132" i="1"/>
  <c r="AQ67" i="1"/>
  <c r="AP132" i="1"/>
  <c r="O132" i="1"/>
  <c r="P67" i="1"/>
  <c r="AM132" i="1"/>
  <c r="AN67" i="1"/>
  <c r="AG132" i="1"/>
  <c r="AH67" i="1"/>
  <c r="L132" i="1"/>
  <c r="M67" i="1"/>
  <c r="I132" i="1"/>
  <c r="J67" i="1"/>
  <c r="AB67" i="1" l="1"/>
  <c r="E156" i="1"/>
  <c r="F156" i="1" s="1"/>
  <c r="G132" i="1"/>
  <c r="G67" i="1"/>
  <c r="F67" i="1"/>
  <c r="AP156" i="1"/>
  <c r="AQ156" i="1" s="1"/>
  <c r="AQ132" i="1"/>
  <c r="O156" i="1"/>
  <c r="P156" i="1" s="1"/>
  <c r="P132" i="1"/>
  <c r="AA156" i="1"/>
  <c r="AB156" i="1" s="1"/>
  <c r="AB132" i="1"/>
  <c r="AD156" i="1"/>
  <c r="AE156" i="1" s="1"/>
  <c r="AE132" i="1"/>
  <c r="I156" i="1"/>
  <c r="J156" i="1" s="1"/>
  <c r="J132" i="1"/>
  <c r="AJ156" i="1"/>
  <c r="AK156" i="1" s="1"/>
  <c r="AK132" i="1"/>
  <c r="L156" i="1"/>
  <c r="M156" i="1" s="1"/>
  <c r="M132" i="1"/>
  <c r="S132" i="1"/>
  <c r="R156" i="1"/>
  <c r="S156" i="1" s="1"/>
  <c r="AG156" i="1"/>
  <c r="AH156" i="1" s="1"/>
  <c r="AH132" i="1"/>
  <c r="X156" i="1"/>
  <c r="Y156" i="1" s="1"/>
  <c r="Y132" i="1"/>
  <c r="AM156" i="1"/>
  <c r="AN156" i="1" s="1"/>
  <c r="AN132" i="1"/>
  <c r="U156" i="1"/>
  <c r="V156" i="1" s="1"/>
  <c r="V132" i="1"/>
  <c r="G15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E5719-F5DA-4C49-9191-F56C86A48E49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8CDC4B8A-0A68-4896-A9B6-419484BCF326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AB8A05A9-EC1F-40FF-8D5F-857B76874962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730EDBC0-1FCB-40FC-B495-A4918CF04F48}" keepAlive="1" name="Abfrage - Monatsexporte" description="Verbindung mit der Abfrage 'Monatsexporte' in der Arbeitsmappe." type="5" refreshedVersion="8" background="1" refreshOnLoad="1" saveData="1">
    <dbPr connection="Provider=Microsoft.Mashup.OleDb.1;Data Source=$Workbook$;Location=Monatsexporte;Extended Properties=&quot;&quot;" command="SELECT * FROM [Monatsexporte]"/>
  </connection>
  <connection id="5" xr16:uid="{122D179E-4FDA-4E67-9FCC-9C6EE9438D53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</connections>
</file>

<file path=xl/sharedStrings.xml><?xml version="1.0" encoding="utf-8"?>
<sst xmlns="http://schemas.openxmlformats.org/spreadsheetml/2006/main" count="1318" uniqueCount="551">
  <si>
    <t>Konto</t>
  </si>
  <si>
    <t>Bezeichnung</t>
  </si>
  <si>
    <t>Position</t>
  </si>
  <si>
    <t>Kategorie</t>
  </si>
  <si>
    <t>Budget_Jahr</t>
  </si>
  <si>
    <t>AfA_Jahr</t>
  </si>
  <si>
    <t>Ist_Kalk</t>
  </si>
  <si>
    <t>Erloese Shop</t>
  </si>
  <si>
    <t>A1</t>
  </si>
  <si>
    <t>Umsatzerloese</t>
  </si>
  <si>
    <t>Erloese Verpachtung Bar</t>
  </si>
  <si>
    <t>Erloese Ausstellungen</t>
  </si>
  <si>
    <t>Erloese Werbetaetigkeit</t>
  </si>
  <si>
    <t>Beitrag Gemeinde Meran</t>
  </si>
  <si>
    <t>A5a</t>
  </si>
  <si>
    <t>Zuschuesse</t>
  </si>
  <si>
    <t>Beitrag Provinz Bozen</t>
  </si>
  <si>
    <t>Beitraege Stiftung Sparkasse</t>
  </si>
  <si>
    <t>Dienstleistung Ausstellung</t>
  </si>
  <si>
    <t>B7</t>
  </si>
  <si>
    <t>Dienstleistungen</t>
  </si>
  <si>
    <t>Miete Cafe Kunsthaus</t>
  </si>
  <si>
    <t>B8</t>
  </si>
  <si>
    <t>Miete</t>
  </si>
  <si>
    <t>Personalspesen</t>
  </si>
  <si>
    <t>B9</t>
  </si>
  <si>
    <t>Personal</t>
  </si>
  <si>
    <t>AfA Techn. Anlagen</t>
  </si>
  <si>
    <t>B10</t>
  </si>
  <si>
    <t>Abschreibungen</t>
  </si>
  <si>
    <t>Ja</t>
  </si>
  <si>
    <t>AfA Sonstige Sachanlagen</t>
  </si>
  <si>
    <t>Typ</t>
  </si>
  <si>
    <t>Jahresbetrag_VJ</t>
  </si>
  <si>
    <t>Monatsbetrag</t>
  </si>
  <si>
    <t>Formel</t>
  </si>
  <si>
    <t>AfA</t>
  </si>
  <si>
    <t>Techn. Anlagen und Maschinen</t>
  </si>
  <si>
    <t>Vorjahr / 12</t>
  </si>
  <si>
    <t>Sonstige Sachanlagen</t>
  </si>
  <si>
    <t>Andere Gueter</t>
  </si>
  <si>
    <t>Rueckst.</t>
  </si>
  <si>
    <t>13. Monatsgehalt</t>
  </si>
  <si>
    <t>14. Monatsgehalt</t>
  </si>
  <si>
    <t>Beitraege auf 14. Gehalt</t>
  </si>
  <si>
    <t>SUMME</t>
  </si>
  <si>
    <t>PROVISORISCHE MONATSBILANZ</t>
  </si>
  <si>
    <t>Jahr</t>
  </si>
  <si>
    <t>Monat</t>
  </si>
  <si>
    <t>Saldo</t>
  </si>
  <si>
    <t>Immobilizzazioni materiali</t>
  </si>
  <si>
    <t>Impianti e macchinari</t>
  </si>
  <si>
    <t>Macchinari</t>
  </si>
  <si>
    <t>Macchinari e impianti  generici - I</t>
  </si>
  <si>
    <t>Macchinari e impianti  specifici - I</t>
  </si>
  <si>
    <t>Macchinari specifici - Bar</t>
  </si>
  <si>
    <t>Macchinari e impianti  generici - Bar</t>
  </si>
  <si>
    <t>F.do amm. impianti e macchinari</t>
  </si>
  <si>
    <t>F.do amm. macchinari</t>
  </si>
  <si>
    <t>F.do amm. macchinari e impianti generici</t>
  </si>
  <si>
    <t>F.do amm. macchinari specifici</t>
  </si>
  <si>
    <t>F.do amm. imp.e macchinari specifici Bar</t>
  </si>
  <si>
    <t>F.do amm. macchinari e imp.generici-Bar</t>
  </si>
  <si>
    <t>Attrezzature industriali e commerciali</t>
  </si>
  <si>
    <t>Attrezzature industriali</t>
  </si>
  <si>
    <t>Biancheria varia - I</t>
  </si>
  <si>
    <t>Televisione e radio - I</t>
  </si>
  <si>
    <t>Attrezzature - Bar</t>
  </si>
  <si>
    <t>Attrezzatura varia</t>
  </si>
  <si>
    <t>F.do amm. attrezzature ind. e comm.</t>
  </si>
  <si>
    <t>F.do amm. attrezzature industriali</t>
  </si>
  <si>
    <t>F.do amm. biancheria varia - I</t>
  </si>
  <si>
    <t>F.do amm. televisione e radio</t>
  </si>
  <si>
    <t>F.do amm. attrezzature Bar</t>
  </si>
  <si>
    <t>F.do amm. attrezzature varie</t>
  </si>
  <si>
    <t>Altri beni</t>
  </si>
  <si>
    <t>Mobili e arredi</t>
  </si>
  <si>
    <t>Mobili e arredi - Bar</t>
  </si>
  <si>
    <t>Mobili e arredi - I</t>
  </si>
  <si>
    <t>Hardware IT</t>
  </si>
  <si>
    <t>Telefono</t>
  </si>
  <si>
    <t>Macchine elettroniche d'ufficio</t>
  </si>
  <si>
    <t>Cartelloni pubblicitari, lettere illumin</t>
  </si>
  <si>
    <t>Registratore di cassa + Orderman - Bar</t>
  </si>
  <si>
    <t>Registratore di cassa museo</t>
  </si>
  <si>
    <t>F.do amm. altri beni</t>
  </si>
  <si>
    <t>F.do amm. mobili e arredi</t>
  </si>
  <si>
    <t>F.do amm. mobili e arredi Bar</t>
  </si>
  <si>
    <t>F.do amm. mobili e arredi - I</t>
  </si>
  <si>
    <t>F.do amm. hardware IT</t>
  </si>
  <si>
    <t>F.do amm.telefoni e fax</t>
  </si>
  <si>
    <t>F.do amm. macchine ufficio</t>
  </si>
  <si>
    <t>F.do amm. Registr.di cassa+Orderman Bar</t>
  </si>
  <si>
    <t>F.do amm.to registratore di cassa museo</t>
  </si>
  <si>
    <t>F.do amm. insegne luminose e cart.pubbl.</t>
  </si>
  <si>
    <t>Rimanenze</t>
  </si>
  <si>
    <t>Rimanenze prodotti finiti e merci</t>
  </si>
  <si>
    <t>Rimanenze prodotti finiti</t>
  </si>
  <si>
    <t>Rimanenze cataloghi e libri</t>
  </si>
  <si>
    <t>Rimanenze - Acconti</t>
  </si>
  <si>
    <t>Altri acconti</t>
  </si>
  <si>
    <t>Crediti</t>
  </si>
  <si>
    <t>Crediti verso clienti</t>
  </si>
  <si>
    <t>Crediti vs clienti entro es.succ.</t>
  </si>
  <si>
    <t>Crediti vs clienti</t>
  </si>
  <si>
    <t>Crediti vs clienti fatture da emettere</t>
  </si>
  <si>
    <t>Crediti verso altri</t>
  </si>
  <si>
    <t>Crediti vs altri esigib.entro es.succ.</t>
  </si>
  <si>
    <t>Crediti verso Erario per ritenute subite</t>
  </si>
  <si>
    <t>IRPEF / IRES per ritenute subite</t>
  </si>
  <si>
    <t>Crediti diversi vs forn. entro es. succ.</t>
  </si>
  <si>
    <t>Depositi cauzionali entro es.succ.</t>
  </si>
  <si>
    <t>Crediti diversi verso altri</t>
  </si>
  <si>
    <t>Note di credito da ricevere entro es.</t>
  </si>
  <si>
    <t>Crediti contributi enti pubblici</t>
  </si>
  <si>
    <t>Crediti ufficio imposte</t>
  </si>
  <si>
    <t>Cauzioni per vuoti da rendere</t>
  </si>
  <si>
    <t>Depositi cauzionali aziende elettriche</t>
  </si>
  <si>
    <t>Depositi cauzionali affitto</t>
  </si>
  <si>
    <t>Disponibilità liquide</t>
  </si>
  <si>
    <t>Depositi bancari e postali</t>
  </si>
  <si>
    <t>Cassa di Risparmio c/c 90000-6</t>
  </si>
  <si>
    <t>cassa rurale Lana K.to 304039033</t>
  </si>
  <si>
    <t>Danaro e valori in cassa</t>
  </si>
  <si>
    <t>Cassa contanti</t>
  </si>
  <si>
    <t>Cassa biennale Venezia</t>
  </si>
  <si>
    <t>Ratei e risconti attivi</t>
  </si>
  <si>
    <t>Risconti attivi</t>
  </si>
  <si>
    <t>Capitale</t>
  </si>
  <si>
    <t>Capitale dell'associazione</t>
  </si>
  <si>
    <t>Utili (perdite) portati a nuovo</t>
  </si>
  <si>
    <t>Perdite esercizi precedenti</t>
  </si>
  <si>
    <t>Trattamento fine rapporto</t>
  </si>
  <si>
    <t>F.do T.F.R. lavorat. subordinati</t>
  </si>
  <si>
    <t>Debiti verso banche</t>
  </si>
  <si>
    <t>Debiti verso banche entro es.succ.</t>
  </si>
  <si>
    <t>Maturazione degli interessi passivi</t>
  </si>
  <si>
    <t>Debiti verso fornitori</t>
  </si>
  <si>
    <t>Debiti verso fornitori entro es.succ.</t>
  </si>
  <si>
    <t>Fornitori beni e servizi entro es.succ.</t>
  </si>
  <si>
    <t>Fatture da ricevere entro es.succ.</t>
  </si>
  <si>
    <t>Debiti tributari</t>
  </si>
  <si>
    <t>Erario c.to IVA entro es.succ.</t>
  </si>
  <si>
    <t xml:space="preserve">Erario c.to IVA </t>
  </si>
  <si>
    <t>Erario c.to ritenute entro es.succ.</t>
  </si>
  <si>
    <t>Erario c.to rit.IRPEF dip.entro es.succ.</t>
  </si>
  <si>
    <t>Erario c.to rit.IRPEF/IRES prof./coll.</t>
  </si>
  <si>
    <t>Erario c.to altre imposte</t>
  </si>
  <si>
    <t>Deb.vs erario altre imp.entro es.succ.</t>
  </si>
  <si>
    <t xml:space="preserve">Altri debiti verso Erario </t>
  </si>
  <si>
    <t>Debiti per imposte sostitutive entro es.</t>
  </si>
  <si>
    <t>Debiti vs istituti di previd.e sicurezz.</t>
  </si>
  <si>
    <t>Debiti vs ist.prev. entro es.succ.</t>
  </si>
  <si>
    <t>Debiti vs INPS dipend. entro es.succ.</t>
  </si>
  <si>
    <t>Debiti verso INAIL entro es. succ.</t>
  </si>
  <si>
    <t>Debiti verso Fondo EST</t>
  </si>
  <si>
    <t>Altri debiti prev.esig.entro es.succ.</t>
  </si>
  <si>
    <t>Contributi su ferie</t>
  </si>
  <si>
    <t>Altri debiti</t>
  </si>
  <si>
    <t>Altri debiti entro es.succ.</t>
  </si>
  <si>
    <t>Debiti verso dipendenti</t>
  </si>
  <si>
    <t>Dipendenti c.to retribuzioni</t>
  </si>
  <si>
    <t>Dipendenti c/ferie maturate</t>
  </si>
  <si>
    <t>Debiti diversi</t>
  </si>
  <si>
    <t>Debiti verso sindacati c/to ritenute</t>
  </si>
  <si>
    <t>Altri debiti oltre es.succ.</t>
  </si>
  <si>
    <t>Debiti diversi oltre es.succ.</t>
  </si>
  <si>
    <t>Altri debiti oltre l'es. succ.</t>
  </si>
  <si>
    <t>Ratei e risconti passivi vari</t>
  </si>
  <si>
    <t>Ratei passivi</t>
  </si>
  <si>
    <t>Ratei passivi 14.mensilita`</t>
  </si>
  <si>
    <t>Rateo passivo contributi</t>
  </si>
  <si>
    <t>Contributi su quattord.</t>
  </si>
  <si>
    <t>Risconti passivi</t>
  </si>
  <si>
    <t>Ricavi delle vendite e delle prestazioni</t>
  </si>
  <si>
    <t>Cessioni di beni cui è diretta attività</t>
  </si>
  <si>
    <t>Ricavi per vendite Italia</t>
  </si>
  <si>
    <t>Ricavi per vendite Shop - E</t>
  </si>
  <si>
    <t>Ricavi da corrispettivi, aggi e altro</t>
  </si>
  <si>
    <t>Corrispettivi locazione bar - E</t>
  </si>
  <si>
    <t>Rimborsi spese locazione bar - E</t>
  </si>
  <si>
    <t>Ricavi per vendite Shop Biennale Venezia</t>
  </si>
  <si>
    <t>Prestazione di servizi cui è dir. att.</t>
  </si>
  <si>
    <t>Ricavi per prestazioni Italia</t>
  </si>
  <si>
    <t>Ricavi esposizioni - E</t>
  </si>
  <si>
    <t>Altri ricavi - E</t>
  </si>
  <si>
    <t>Ricavi pubblicita`- E</t>
  </si>
  <si>
    <t>Ricavi per formazione e mediazione</t>
  </si>
  <si>
    <t>Ricavi pubblicita`Biennale Venezia</t>
  </si>
  <si>
    <t>Ricavi esposizioni Biennale Venezia</t>
  </si>
  <si>
    <t>Ricavi per eventi Biennale Venezia</t>
  </si>
  <si>
    <t>Altri ricavi e proventi</t>
  </si>
  <si>
    <t>Riaddebiti vari</t>
  </si>
  <si>
    <t>Rimborsi spese  generico</t>
  </si>
  <si>
    <t>Altri ricavi,prov.non rientr.att.gest.o.</t>
  </si>
  <si>
    <t>Abbuoni e arrotondamenti attivi</t>
  </si>
  <si>
    <t>Sopravvenienze non interamente tassabili</t>
  </si>
  <si>
    <t>Sopravv.attive fiscalmente non rilevanti</t>
  </si>
  <si>
    <t>Sopravvenienze attive ordinarie</t>
  </si>
  <si>
    <t>Proventi diversi</t>
  </si>
  <si>
    <t>Proventi quota 5 per mille</t>
  </si>
  <si>
    <t>Contributi in c.to esercizio</t>
  </si>
  <si>
    <t>Quota soci - I</t>
  </si>
  <si>
    <t>Erogazioni liberali - I</t>
  </si>
  <si>
    <t>Contributi Comune Merano - I</t>
  </si>
  <si>
    <t>Contributi Provincia Bolzano - I</t>
  </si>
  <si>
    <t>Contributi Regione - I</t>
  </si>
  <si>
    <t>Contributi Fondazione Cassa di Risp.-I</t>
  </si>
  <si>
    <t>Quota soci Biennale Venezia</t>
  </si>
  <si>
    <t>Contributi Venezia</t>
  </si>
  <si>
    <t>Contributi in c.to impianti</t>
  </si>
  <si>
    <t>Credito d'imposta per investimenti</t>
  </si>
  <si>
    <t>Contributi in c.to impianti imponibili</t>
  </si>
  <si>
    <t>Costi per materie prime, sussidiarie</t>
  </si>
  <si>
    <t>Acquisto beni per produzione di servizi</t>
  </si>
  <si>
    <t>Acquisto beni per esposizioni - M</t>
  </si>
  <si>
    <t>Acquisto beni per esposiz..Bienn.Venezia</t>
  </si>
  <si>
    <t>Acquisti di materiali di consumo</t>
  </si>
  <si>
    <t>Acquisti di materiali di consumo prod.</t>
  </si>
  <si>
    <t>Acquisti materiali di consumo manutenz.</t>
  </si>
  <si>
    <t>Cancelleria e stampati</t>
  </si>
  <si>
    <t>Acquisti di altri materiali di consumo</t>
  </si>
  <si>
    <t>Materiale ufficio - igiene e pulizia</t>
  </si>
  <si>
    <t>Acquisto fiori e decorazioni</t>
  </si>
  <si>
    <t>Acquisti di merci e prodotti finiti</t>
  </si>
  <si>
    <t>Acquisti di merci Shop - E</t>
  </si>
  <si>
    <t>Acquisti di beni &lt;= € 516,46 ded. 100%</t>
  </si>
  <si>
    <t>Acquisti di merci Shop Biennale Venezia</t>
  </si>
  <si>
    <t>Costi per servizi</t>
  </si>
  <si>
    <t>Costi altri servizi</t>
  </si>
  <si>
    <t>Altri oneri di gestione</t>
  </si>
  <si>
    <t>Spese per esposizioni - M</t>
  </si>
  <si>
    <t>Spese per cataloghi - M</t>
  </si>
  <si>
    <t>Spese per progetti - M</t>
  </si>
  <si>
    <t>Servizi di lavanderia biancheria</t>
  </si>
  <si>
    <t>Servizi per progetto Biennale Venezia</t>
  </si>
  <si>
    <t>Costi per servizi di manutenzione</t>
  </si>
  <si>
    <t>Canoni periodici di manutenzione</t>
  </si>
  <si>
    <t>Canoni periodici di manut. attrezz. - M</t>
  </si>
  <si>
    <t>Spese di manutenzione</t>
  </si>
  <si>
    <t>Spese manutenz. attrezzature</t>
  </si>
  <si>
    <t>Spese manutenz. altri beni telefonia - M</t>
  </si>
  <si>
    <t>Altre spese di manutenzione</t>
  </si>
  <si>
    <t>Riparazioni e manutenzioni diverse</t>
  </si>
  <si>
    <t>Manutenzioni su beni di terzi ded. 100%</t>
  </si>
  <si>
    <t>Riparazioni e manut.macchine ufficio</t>
  </si>
  <si>
    <t>Riparazioni e manutenzioni Bar</t>
  </si>
  <si>
    <t>Costi per servizi di consulenza</t>
  </si>
  <si>
    <t>Consulenze e prestazioni commerciali</t>
  </si>
  <si>
    <t>Onorario a intermediari</t>
  </si>
  <si>
    <t>Consulenze legali, fiscali ed amministr.</t>
  </si>
  <si>
    <t>Consulenza fiscale e societaria</t>
  </si>
  <si>
    <t>Amministrazione e paghe</t>
  </si>
  <si>
    <t>Collaborazioni occasionali aff. attività</t>
  </si>
  <si>
    <t>Contributi INPS su coll.occas.afferenti</t>
  </si>
  <si>
    <t>Servizi amministrativi e finanziari</t>
  </si>
  <si>
    <t>Spese e servizi bancari (non finanziari)</t>
  </si>
  <si>
    <t>Spese e serv.bancari Venezia</t>
  </si>
  <si>
    <t>Costi per servizi promozionali e pubb.</t>
  </si>
  <si>
    <t>Pubblicità e propaganda</t>
  </si>
  <si>
    <t>Inserzioni su giornali</t>
  </si>
  <si>
    <t>Servizi online marketing</t>
  </si>
  <si>
    <t>Pubblicità e propaganda Venezia</t>
  </si>
  <si>
    <t>Costi per servizi generali e utenze</t>
  </si>
  <si>
    <t>Costi per servizi di utenze</t>
  </si>
  <si>
    <t>Somministrazione energia elettrica - M</t>
  </si>
  <si>
    <t>Spese telefoni/fax - M</t>
  </si>
  <si>
    <t>Spese telefoni cellulari</t>
  </si>
  <si>
    <t>Spese postali e bollati</t>
  </si>
  <si>
    <t>Somministrazione gas - M</t>
  </si>
  <si>
    <t>Fornitura acqua - M</t>
  </si>
  <si>
    <t>Spese telef. cellulari Biennale Venezia</t>
  </si>
  <si>
    <t>Assicurazioni</t>
  </si>
  <si>
    <t>Altre assicurazioni deducibili - M</t>
  </si>
  <si>
    <t>Assicurazioni Biennale Venezia</t>
  </si>
  <si>
    <t>Altri servizi generali</t>
  </si>
  <si>
    <t>Servizi di pulizia</t>
  </si>
  <si>
    <t>Compensi amministratori e sindaci</t>
  </si>
  <si>
    <t>Contributi INAIL amministratori/collabor</t>
  </si>
  <si>
    <t>Costi per servizi ai dipendenti</t>
  </si>
  <si>
    <t>Corsi e perfezionamento</t>
  </si>
  <si>
    <t>Servizi mensa o ticket restaurant</t>
  </si>
  <si>
    <t>Visite mediche dipendenti</t>
  </si>
  <si>
    <t>Costi viaggi, soggiorni e rappresentanza</t>
  </si>
  <si>
    <t>Spese viaggio dipendenti e cococo</t>
  </si>
  <si>
    <t>Altre spese di viaggio artisti</t>
  </si>
  <si>
    <t>Altre spese vitto e alloggio 75%</t>
  </si>
  <si>
    <t>Spese vitto e alloggio artisti/stampa</t>
  </si>
  <si>
    <t>Spese di rappresentanza deducibili</t>
  </si>
  <si>
    <t>Spese di rappresent.ded.pubblicazioni</t>
  </si>
  <si>
    <t>Spese di rappr.ded. biennale Venezia</t>
  </si>
  <si>
    <t>Altre spese di viaggio artisti bienn.Ven</t>
  </si>
  <si>
    <t>Altre spese vitto e all.100% bienn.Venez</t>
  </si>
  <si>
    <t>Costi per godimento beni di terzi</t>
  </si>
  <si>
    <t>Affitti, locazioni e oneri accessori</t>
  </si>
  <si>
    <t>Affitti Caffe`Kunsthaus</t>
  </si>
  <si>
    <t>Spese condominiali - M</t>
  </si>
  <si>
    <t>Affitto area espositiva</t>
  </si>
  <si>
    <t>Affitto ufficio</t>
  </si>
  <si>
    <t>Affitti</t>
  </si>
  <si>
    <t>Affitti spazio espositivo Bienn.Venezia</t>
  </si>
  <si>
    <t>Noleggi/costi godimento auto</t>
  </si>
  <si>
    <t>Noleggi/costi godimento auto non strum.</t>
  </si>
  <si>
    <t>Altri costi per godimento beni di terzi</t>
  </si>
  <si>
    <t>Costi period.i licenza d'uso software -M</t>
  </si>
  <si>
    <t>Costi per il personale</t>
  </si>
  <si>
    <t>Salari e stipendi</t>
  </si>
  <si>
    <t>Retribuzione del personale dipendente</t>
  </si>
  <si>
    <t>Arrot. att./pass. su retribuz.</t>
  </si>
  <si>
    <t>Oneri sociali e previdenziali</t>
  </si>
  <si>
    <t>Oneri sociali personale</t>
  </si>
  <si>
    <t>Altri enti previdenziali e assistenziali</t>
  </si>
  <si>
    <t>Contributi Fondo EST</t>
  </si>
  <si>
    <t>Contributi Enti bilaterali</t>
  </si>
  <si>
    <t>INAIL</t>
  </si>
  <si>
    <t>Trattamento di fine rapporto</t>
  </si>
  <si>
    <t>T.F.R. personale accantonato</t>
  </si>
  <si>
    <t>Trattamento di quiescenza e simili</t>
  </si>
  <si>
    <t>Contributi a forme pensionistiche compl.</t>
  </si>
  <si>
    <t>Altri Costi</t>
  </si>
  <si>
    <t>Omaggi ai dipendenti</t>
  </si>
  <si>
    <t>Ammortamenti e svalutazioni</t>
  </si>
  <si>
    <t>Amm.to immobilizzazioni materiali</t>
  </si>
  <si>
    <t>Amm.to ordinario immob. materiali</t>
  </si>
  <si>
    <t>Amm.to ordinario impianti e macch.</t>
  </si>
  <si>
    <t>Amm.to ordinario altri beni</t>
  </si>
  <si>
    <t>Ammortamento altri beni non deducibili</t>
  </si>
  <si>
    <t>Variazioni riman. materie prime, suss.</t>
  </si>
  <si>
    <t>Variazioni rimanenze merci</t>
  </si>
  <si>
    <t>Rimanenze iniziali merci</t>
  </si>
  <si>
    <t>Rimanenze finali merci</t>
  </si>
  <si>
    <t>Rimanenze iniziali cataloghi e libri</t>
  </si>
  <si>
    <t>Rimanenze finali cataloghi e libri</t>
  </si>
  <si>
    <t>Oneri diversi di gestione</t>
  </si>
  <si>
    <t xml:space="preserve">Imposte e tasse non relative al reddito </t>
  </si>
  <si>
    <t>Imposte di registro ipotecarie catastali</t>
  </si>
  <si>
    <t>Imposta di registro - M</t>
  </si>
  <si>
    <t>Imposta di bollo</t>
  </si>
  <si>
    <t>Imposta di bollo - M</t>
  </si>
  <si>
    <t>Tasse per la finanza locale</t>
  </si>
  <si>
    <t>Tassa smaltimento rifiuti</t>
  </si>
  <si>
    <t>Imposta comunale pubblicità esterna</t>
  </si>
  <si>
    <t>Diritto sulle pubbliche affissioni</t>
  </si>
  <si>
    <t xml:space="preserve">Altre imposte e tasse </t>
  </si>
  <si>
    <t>IVA indetraibile per pro/rata</t>
  </si>
  <si>
    <t>Quota S.I.A.E. - M</t>
  </si>
  <si>
    <t>IVA indetraibile per pro/rata Venezia</t>
  </si>
  <si>
    <t>Periodici, pubblicazioni e quote assoc.</t>
  </si>
  <si>
    <t>Quote associative</t>
  </si>
  <si>
    <t>Abbonamenti e pubblicazioni</t>
  </si>
  <si>
    <t>Spese camerali, catastali e diritti vari</t>
  </si>
  <si>
    <t>Spese diritti doganali</t>
  </si>
  <si>
    <t>Multe e ammende</t>
  </si>
  <si>
    <t>Sopravvenienze passive indeducibili</t>
  </si>
  <si>
    <t>Altre sopravvenienze passive</t>
  </si>
  <si>
    <t>Altri oneri di gestione non ded.</t>
  </si>
  <si>
    <t>Arr. passive</t>
  </si>
  <si>
    <t>Ritenute su interessi attivi</t>
  </si>
  <si>
    <t>Proventi diversi dai precedenti</t>
  </si>
  <si>
    <t>Altri proventi finanz. diversi dai prec.</t>
  </si>
  <si>
    <t>Interessi attivi bancari e postali</t>
  </si>
  <si>
    <t>Interessi ed altri oneri finanziari</t>
  </si>
  <si>
    <t>Altri interessi ed oneri finanziari</t>
  </si>
  <si>
    <t>Interessi di mora verso fornitori</t>
  </si>
  <si>
    <t>Interessi indeducibili IVA trimestrale</t>
  </si>
  <si>
    <t>Interessi da ravvedimenti operosi</t>
  </si>
  <si>
    <t xml:space="preserve">Interessi passivi su depositi bancari </t>
  </si>
  <si>
    <t>Commissioni per fideiussioni bancarie</t>
  </si>
  <si>
    <t>STATO PATRIMONIALE</t>
  </si>
  <si>
    <t>Attività</t>
  </si>
  <si>
    <t>Passività</t>
  </si>
  <si>
    <t>Perdita d'esercizio</t>
  </si>
  <si>
    <t>CONTO ECONOMICO</t>
  </si>
  <si>
    <t>Ricavi</t>
  </si>
  <si>
    <t>Costi</t>
  </si>
  <si>
    <t>Utile (Perdita) d'esercizio</t>
  </si>
  <si>
    <t>Kunst Meran</t>
  </si>
  <si>
    <t>Aktuelles Jahr (CY):</t>
  </si>
  <si>
    <t>Vorjahr (PY):</t>
  </si>
  <si>
    <t>Stand: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</si>
  <si>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</si>
  <si>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</si>
  <si>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</si>
  <si>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</si>
  <si>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</si>
  <si>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</si>
  <si>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</si>
  <si>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</si>
  <si>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</si>
  <si>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</si>
  <si>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</si>
  <si>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</si>
  <si>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PY Jahr</t>
  </si>
  <si>
    <t>Abw.</t>
  </si>
  <si>
    <t>%</t>
  </si>
  <si>
    <t>CY</t>
  </si>
  <si>
    <t>PY</t>
  </si>
  <si>
    <t>1. UMSAETZE</t>
  </si>
  <si>
    <t xml:space="preserve">   1.1 Erloese Lieferungen/Leistungen</t>
  </si>
  <si>
    <t>6001*</t>
  </si>
  <si>
    <t xml:space="preserve">      Erloese Shop</t>
  </si>
  <si>
    <t xml:space="preserve">      Erloese Verpachtung Bar</t>
  </si>
  <si>
    <t xml:space="preserve">      Spesenrueckerstattung Verpacht.</t>
  </si>
  <si>
    <t xml:space="preserve">      Erloese Shop Biennale</t>
  </si>
  <si>
    <t xml:space="preserve">      Erloese Ausstellungen</t>
  </si>
  <si>
    <t xml:space="preserve">      Sonstige Erloese</t>
  </si>
  <si>
    <t xml:space="preserve">      Erloese Werbetaetigkeit</t>
  </si>
  <si>
    <t xml:space="preserve">      Erloese Bildung/Vermittlung</t>
  </si>
  <si>
    <t xml:space="preserve">      Erloese Werbetaetigkeit Biennale</t>
  </si>
  <si>
    <t xml:space="preserve">      Erloese Ausstellung Biennale</t>
  </si>
  <si>
    <t xml:space="preserve">      Erloese Veranstaltungen Biennale</t>
  </si>
  <si>
    <t xml:space="preserve">   1.2 Zuschuesse und Beitraege</t>
  </si>
  <si>
    <t>6401*</t>
  </si>
  <si>
    <t xml:space="preserve">      Mitgliedsbeitraege</t>
  </si>
  <si>
    <t xml:space="preserve">      Spenden</t>
  </si>
  <si>
    <t xml:space="preserve">      Beitrag Gemeinde Meran</t>
  </si>
  <si>
    <t xml:space="preserve">      Beitrag Provinz Bozen</t>
  </si>
  <si>
    <t xml:space="preserve">      Beitrag Region</t>
  </si>
  <si>
    <t xml:space="preserve">      Beitraege Stiftung Sparkasse</t>
  </si>
  <si>
    <t xml:space="preserve">      Spenden Biennale Venedig</t>
  </si>
  <si>
    <t xml:space="preserve">      Oeffentliche Beitraege Venedig</t>
  </si>
  <si>
    <t xml:space="preserve">      Steuerverrechnung Credito</t>
  </si>
  <si>
    <t xml:space="preserve">   1.3 Sonstige betriebliche Ertraege</t>
  </si>
  <si>
    <t>6400*</t>
  </si>
  <si>
    <t xml:space="preserve">      Spesenrueckerstattung</t>
  </si>
  <si>
    <t xml:space="preserve">      Ausserord. Ertraege nicht stpfl.</t>
  </si>
  <si>
    <t xml:space="preserve">      Ausserordentliche Ertraege</t>
  </si>
  <si>
    <t xml:space="preserve">      Sonstige Ertraege</t>
  </si>
  <si>
    <t xml:space="preserve">      Ertraege Quote 5 Promille</t>
  </si>
  <si>
    <t xml:space="preserve">      Investitionsbeitraege</t>
  </si>
  <si>
    <t>SUMME UMSAETZE</t>
  </si>
  <si>
    <t>2. DIREKTE KOSTEN</t>
  </si>
  <si>
    <t xml:space="preserve">   (a) Materialkosten</t>
  </si>
  <si>
    <t>680*</t>
  </si>
  <si>
    <t xml:space="preserve">      Zukauf Ausstellung</t>
  </si>
  <si>
    <t xml:space="preserve">      Zukauf Ausstellung Biennale</t>
  </si>
  <si>
    <t xml:space="preserve">      Einkauf Verbrauchsmaterial</t>
  </si>
  <si>
    <t xml:space="preserve">      Bueromaterial</t>
  </si>
  <si>
    <t xml:space="preserve">      Reinigungsmittel</t>
  </si>
  <si>
    <t xml:space="preserve">      Blumen/Dekoration</t>
  </si>
  <si>
    <t xml:space="preserve">      Zukauf Shop</t>
  </si>
  <si>
    <t xml:space="preserve">      100% abziehbare Gueter</t>
  </si>
  <si>
    <t xml:space="preserve">      Zukauf Shop Venedig</t>
  </si>
  <si>
    <t xml:space="preserve">   (b) Dienstleistungen (Ausst./Projekte)</t>
  </si>
  <si>
    <t>690125*</t>
  </si>
  <si>
    <t xml:space="preserve">      Dienstleistung Ausstellung</t>
  </si>
  <si>
    <t xml:space="preserve">      Dienstleistung Kataloge</t>
  </si>
  <si>
    <t xml:space="preserve">      Dienstleistung Projekte</t>
  </si>
  <si>
    <t xml:space="preserve">      Dienstleistung Projekte Venedig</t>
  </si>
  <si>
    <t xml:space="preserve">      Reisekosten Kuenstler</t>
  </si>
  <si>
    <t xml:space="preserve">      Unterkunft Kuenstler</t>
  </si>
  <si>
    <t xml:space="preserve">      Repraesentationsspesen Publikat.</t>
  </si>
  <si>
    <t xml:space="preserve">      Repraesentationsspesen Biennale</t>
  </si>
  <si>
    <t xml:space="preserve">      Reisekosten Kuenstler Biennale</t>
  </si>
  <si>
    <t xml:space="preserve">      Unterkunft Biennale</t>
  </si>
  <si>
    <t>SUMME DIREKTE KOSTEN</t>
  </si>
  <si>
    <t>3. DECKUNGSBEITRAG</t>
  </si>
  <si>
    <t>4. STRUKTURKOSTEN</t>
  </si>
  <si>
    <t xml:space="preserve">   (a) Verwaltung</t>
  </si>
  <si>
    <t>6901/02*</t>
  </si>
  <si>
    <t xml:space="preserve">      Sonstige Dienstleistungen</t>
  </si>
  <si>
    <t xml:space="preserve">      Sonstige betriebl. Aufwendungen</t>
  </si>
  <si>
    <t xml:space="preserve">      Gelegentliche Provisionen</t>
  </si>
  <si>
    <t xml:space="preserve">      Honorare Vermittler</t>
  </si>
  <si>
    <t xml:space="preserve">      Wirtschafts-/Steuerberatung</t>
  </si>
  <si>
    <t xml:space="preserve">      Verwaltung und Lohnspesen</t>
  </si>
  <si>
    <t xml:space="preserve">      Gelegentliche Mitarbeit</t>
  </si>
  <si>
    <t xml:space="preserve">      Sozialabg. geleg. Mitarbeit</t>
  </si>
  <si>
    <t xml:space="preserve">      Bankspesen</t>
  </si>
  <si>
    <t xml:space="preserve">      Bankspesen Biennale</t>
  </si>
  <si>
    <t xml:space="preserve">      Werbung</t>
  </si>
  <si>
    <t xml:space="preserve">      Anzeige in Zeitungen</t>
  </si>
  <si>
    <t xml:space="preserve">      Online Marketing</t>
  </si>
  <si>
    <t xml:space="preserve">      Werbung Venedig</t>
  </si>
  <si>
    <t xml:space="preserve">      Mitgliedsbeitraege Verein</t>
  </si>
  <si>
    <t xml:space="preserve">      Abonnemente/Zeitschriften</t>
  </si>
  <si>
    <t xml:space="preserve">   (b) Strukturen (inkl. Miete)</t>
  </si>
  <si>
    <t>700*</t>
  </si>
  <si>
    <t xml:space="preserve">      Miete Cafe Kunsthaus</t>
  </si>
  <si>
    <t xml:space="preserve">      Mietnebenkosten</t>
  </si>
  <si>
    <t xml:space="preserve">      Miete Ausstellungsbereich</t>
  </si>
  <si>
    <t xml:space="preserve">      Miete Buero</t>
  </si>
  <si>
    <t xml:space="preserve">      Miete sonstige</t>
  </si>
  <si>
    <t xml:space="preserve">      Miete Biennale Venedig</t>
  </si>
  <si>
    <t xml:space="preserve">      Miete/Kosten PKW</t>
  </si>
  <si>
    <t xml:space="preserve">      Software</t>
  </si>
  <si>
    <t xml:space="preserve">      Periodische Wartung</t>
  </si>
  <si>
    <t xml:space="preserve">      Instandhaltung Ausstattung</t>
  </si>
  <si>
    <t xml:space="preserve">      Instandhaltung Telefon</t>
  </si>
  <si>
    <t xml:space="preserve">      Reparatur/Instandhaltung</t>
  </si>
  <si>
    <t xml:space="preserve">      Instandhaltung Gueter Dritter</t>
  </si>
  <si>
    <t xml:space="preserve">      Instandhaltung Bueromaschinen</t>
  </si>
  <si>
    <t xml:space="preserve">      Instandhaltung Bar</t>
  </si>
  <si>
    <t xml:space="preserve">   (c) Gebaeudekosten</t>
  </si>
  <si>
    <t>690241/42*</t>
  </si>
  <si>
    <t xml:space="preserve">      Strom</t>
  </si>
  <si>
    <t xml:space="preserve">      Telefon und Fax</t>
  </si>
  <si>
    <t xml:space="preserve">      Mobiltelefon</t>
  </si>
  <si>
    <t xml:space="preserve">      Post und Briefmarken</t>
  </si>
  <si>
    <t xml:space="preserve">      Gas</t>
  </si>
  <si>
    <t xml:space="preserve">      Wasser</t>
  </si>
  <si>
    <t xml:space="preserve">      Mobiltelefon Biennale</t>
  </si>
  <si>
    <t xml:space="preserve">      Versicherungen</t>
  </si>
  <si>
    <t xml:space="preserve">      Versicherungen Biennale</t>
  </si>
  <si>
    <t xml:space="preserve">      Reinigungsdienste</t>
  </si>
  <si>
    <t xml:space="preserve">      Reinigung Waesche</t>
  </si>
  <si>
    <t xml:space="preserve">   (d) Personalkosten</t>
  </si>
  <si>
    <t>710*</t>
  </si>
  <si>
    <t xml:space="preserve">      Personalspesen</t>
  </si>
  <si>
    <t xml:space="preserve">      Sozialabgaben Personal</t>
  </si>
  <si>
    <t xml:space="preserve">      EST Rueckst. Beitraege</t>
  </si>
  <si>
    <t xml:space="preserve">      Beitraege Bilaterale Koerpersch.</t>
  </si>
  <si>
    <t xml:space="preserve">      INAIL</t>
  </si>
  <si>
    <t xml:space="preserve">      Zufuehrung Abfertigungsfond</t>
  </si>
  <si>
    <t xml:space="preserve">      Beitraege Zusatzrentenfond</t>
  </si>
  <si>
    <t xml:space="preserve">      Geschenke Arbeitnehmer</t>
  </si>
  <si>
    <t xml:space="preserve">      Kurse und Weiterbildung</t>
  </si>
  <si>
    <t xml:space="preserve">      Betriebskantine/Essenmarken</t>
  </si>
  <si>
    <t xml:space="preserve">      Aerztliche Untersuchungen</t>
  </si>
  <si>
    <t xml:space="preserve">      Arbeitnehmer Reisekosten</t>
  </si>
  <si>
    <t xml:space="preserve">      Unterkunft Verpflegung 75%</t>
  </si>
  <si>
    <t xml:space="preserve">      Repraesentationsspesen</t>
  </si>
  <si>
    <t>SUMME STRUKTURKOSTEN</t>
  </si>
  <si>
    <t>5. EBITDA</t>
  </si>
  <si>
    <t>6. Abschreibungen (kalk.)</t>
  </si>
  <si>
    <t>720*</t>
  </si>
  <si>
    <t xml:space="preserve">      AfA Techn. Anlagen/Maschinen</t>
  </si>
  <si>
    <t xml:space="preserve">      AfA Sonstige Sachanlagen</t>
  </si>
  <si>
    <t xml:space="preserve">      AfA Andere Gueter</t>
  </si>
  <si>
    <t>7. Zinsen</t>
  </si>
  <si>
    <t>850*</t>
  </si>
  <si>
    <t xml:space="preserve">      Zinsertraege K/K</t>
  </si>
  <si>
    <t xml:space="preserve">      Verzugszinsen Lieferanten</t>
  </si>
  <si>
    <t xml:space="preserve">      Zinsen MwSt-Abrechnung</t>
  </si>
  <si>
    <t xml:space="preserve">      Zinsen Ratenzahlung</t>
  </si>
  <si>
    <t xml:space="preserve">      Passivzinsen Bankkontokorrent</t>
  </si>
  <si>
    <t xml:space="preserve">      Kommissionen Bankbuergschaften</t>
  </si>
  <si>
    <t>Letzter Monat Daten:</t>
  </si>
  <si>
    <t>YTD bis Monat:</t>
  </si>
  <si>
    <t>YTD</t>
  </si>
  <si>
    <t xml:space="preserve">      MwSt. nicht abziehbar pro rata</t>
  </si>
  <si>
    <t xml:space="preserve">      MwSt. nicht abziehbar Venedig</t>
  </si>
  <si>
    <t>7601035*</t>
  </si>
  <si>
    <t>9. ERGEBNIS</t>
  </si>
  <si>
    <t>8. MEHRWERTSTEUER</t>
  </si>
  <si>
    <t xml:space="preserve">      Erario c.to IVA</t>
  </si>
  <si>
    <t xml:space="preserve">      Erario c.to IVA (2)</t>
  </si>
  <si>
    <t xml:space="preserve">   (a) MwSt. Verrechnung (abziehbar)</t>
  </si>
  <si>
    <t>4401*</t>
  </si>
  <si>
    <t xml:space="preserve">   (b) MwSt. nicht abziehbar (Kosten)</t>
  </si>
  <si>
    <t>SUMME MwSt.-Aufwand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</si>
</sst>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€&quot;* #,##0.00_);_(&quot;€&quot;* \(#,##0.00\);_(&quot;€&quot;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3366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505050"/>
      <name val="Aptos Narrow"/>
      <family val="2"/>
      <scheme val="minor"/>
    </font>
    <font>
      <b/>
      <sz val="11"/>
      <color rgb="FF00663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6633"/>
        <bgColor indexed="64"/>
      </patternFill>
    </fill>
    <fill>
      <patternFill patternType="solid">
        <fgColor rgb="FF90C59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49" fontId="0" fillId="0" borderId="0" xfId="0" applyNumberFormat="1" applyAlignment="1">
      <alignment horizontal="left"/>
    </xf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7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3" fontId="0" fillId="4" borderId="0" xfId="0" applyNumberFormat="1" applyFill="1"/>
    <xf numFmtId="3" fontId="0" fillId="0" borderId="0" xfId="0" applyNumberFormat="1"/>
    <xf numFmtId="3" fontId="1" fillId="0" borderId="0" xfId="0" applyNumberFormat="1" applyFont="1"/>
    <xf numFmtId="3" fontId="0" fillId="5" borderId="0" xfId="0" applyNumberFormat="1" applyFill="1"/>
    <xf numFmtId="3" fontId="1" fillId="6" borderId="0" xfId="0" applyNumberFormat="1" applyFont="1" applyFill="1"/>
    <xf numFmtId="3" fontId="1" fillId="7" borderId="0" xfId="0" applyNumberFormat="1" applyFont="1" applyFill="1"/>
    <xf numFmtId="3" fontId="6" fillId="2" borderId="0" xfId="0" applyNumberFormat="1" applyFont="1" applyFill="1"/>
    <xf numFmtId="165" fontId="0" fillId="4" borderId="0" xfId="0" applyNumberFormat="1" applyFill="1"/>
    <xf numFmtId="165" fontId="0" fillId="0" borderId="0" xfId="0" applyNumberFormat="1"/>
    <xf numFmtId="165" fontId="1" fillId="0" borderId="0" xfId="0" applyNumberFormat="1" applyFont="1"/>
    <xf numFmtId="165" fontId="0" fillId="5" borderId="0" xfId="0" applyNumberFormat="1" applyFill="1"/>
    <xf numFmtId="165" fontId="1" fillId="6" borderId="0" xfId="0" applyNumberFormat="1" applyFont="1" applyFill="1"/>
    <xf numFmtId="165" fontId="1" fillId="7" borderId="0" xfId="0" applyNumberFormat="1" applyFont="1" applyFill="1"/>
    <xf numFmtId="165" fontId="6" fillId="2" borderId="0" xfId="0" applyNumberFormat="1" applyFont="1" applyFill="1"/>
    <xf numFmtId="3" fontId="0" fillId="6" borderId="0" xfId="0" applyNumberFormat="1" applyFill="1"/>
    <xf numFmtId="3" fontId="0" fillId="7" borderId="0" xfId="0" applyNumberFormat="1" applyFill="1"/>
    <xf numFmtId="3" fontId="5" fillId="2" borderId="0" xfId="0" applyNumberFormat="1" applyFont="1" applyFill="1"/>
    <xf numFmtId="165" fontId="0" fillId="6" borderId="0" xfId="0" applyNumberFormat="1" applyFill="1"/>
    <xf numFmtId="165" fontId="0" fillId="7" borderId="0" xfId="0" applyNumberFormat="1" applyFill="1"/>
    <xf numFmtId="165" fontId="5" fillId="2" borderId="0" xfId="0" applyNumberFormat="1" applyFont="1" applyFill="1"/>
    <xf numFmtId="0" fontId="1" fillId="9" borderId="0" xfId="0" applyFont="1" applyFill="1"/>
    <xf numFmtId="0" fontId="9" fillId="0" borderId="0" xfId="0" applyFont="1"/>
    <xf numFmtId="0" fontId="1" fillId="10" borderId="0" xfId="0" applyFont="1" applyFill="1"/>
    <xf numFmtId="3" fontId="0" fillId="10" borderId="0" xfId="0" applyNumberFormat="1" applyFill="1"/>
    <xf numFmtId="165" fontId="0" fillId="10" borderId="0" xfId="0" applyNumberFormat="1" applyFill="1"/>
    <xf numFmtId="49" fontId="0" fillId="0" borderId="0" xfId="0" applyNumberFormat="1"/>
    <xf numFmtId="49" fontId="1" fillId="0" borderId="0" xfId="0" applyNumberFormat="1" applyFont="1"/>
    <xf numFmtId="49" fontId="8" fillId="0" borderId="0" xfId="0" applyNumberFormat="1" applyFont="1"/>
    <xf numFmtId="49" fontId="5" fillId="2" borderId="0" xfId="0" applyNumberFormat="1" applyFont="1" applyFill="1"/>
    <xf numFmtId="49" fontId="1" fillId="3" borderId="0" xfId="0" applyNumberFormat="1" applyFont="1" applyFill="1"/>
    <xf numFmtId="49" fontId="0" fillId="4" borderId="0" xfId="0" applyNumberFormat="1" applyFill="1"/>
    <xf numFmtId="49" fontId="0" fillId="5" borderId="0" xfId="0" applyNumberFormat="1" applyFill="1"/>
    <xf numFmtId="49" fontId="1" fillId="6" borderId="0" xfId="0" applyNumberFormat="1" applyFont="1" applyFill="1"/>
    <xf numFmtId="49" fontId="1" fillId="7" borderId="0" xfId="0" applyNumberFormat="1" applyFont="1" applyFill="1"/>
    <xf numFmtId="49" fontId="0" fillId="10" borderId="0" xfId="0" applyNumberFormat="1" applyFill="1"/>
    <xf numFmtId="49" fontId="6" fillId="2" borderId="0" xfId="0" applyNumberFormat="1" applyFont="1" applyFill="1"/>
    <xf numFmtId="0" fontId="6" fillId="8" borderId="0" xfId="0" applyFont="1" applyFill="1"/>
  </cellXfs>
  <cellStyles count="2">
    <cellStyle name="Standard" xfId="0" builtinId="0"/>
    <cellStyle name="Währung 2" xfId="1" xr:uid="{2717B3E7-C240-4EA6-91DD-94BB6256E334}"/>
  </cellStyles>
  <dxfs count="3">
    <dxf>
      <numFmt numFmtId="2" formatCode="0.00"/>
    </dxf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refreshOnLoad="1" connectionId="4" xr16:uid="{004168DB-3C61-4D10-A667-32C37C5A6EB3}" autoFormatId="16" applyNumberFormats="0" applyBorderFormats="0" applyFontFormats="0" applyPatternFormats="0" applyAlignmentFormats="0" applyWidthHeightFormats="0">
  <queryTableRefresh nextId="6">
    <queryTableFields count="5">
      <queryTableField id="1" name="Jahr" tableColumnId="1"/>
      <queryTableField id="2" name="Monat" tableColumnId="2"/>
      <queryTableField id="3" name="Konto" tableColumnId="3"/>
      <queryTableField id="4" name="Bezeichnung" tableColumnId="4"/>
      <queryTableField id="5" name="Saldo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77EAB-24C1-4511-994C-319502DBDB37}" name="Stammdaten" displayName="Stammdaten" ref="A1:G13" totalsRowShown="0">
  <autoFilter ref="A1:G13" xr:uid="{78677EAB-24C1-4511-994C-319502DBDB37}"/>
  <tableColumns count="7">
    <tableColumn id="1" xr3:uid="{1D801871-4885-4DED-903E-2B81A3F04401}" name="Konto"/>
    <tableColumn id="2" xr3:uid="{E053D1AA-9BE8-4A83-B0F1-10505C727CBC}" name="Bezeichnung"/>
    <tableColumn id="3" xr3:uid="{CCECAC90-DE93-4DAC-835F-EB2451764FE3}" name="Position"/>
    <tableColumn id="4" xr3:uid="{CA6DFF97-873A-4749-A493-6F0632969B04}" name="Kategorie"/>
    <tableColumn id="5" xr3:uid="{234CE334-3DC5-4E20-A82E-2339BA307F15}" name="Budget_Jahr"/>
    <tableColumn id="6" xr3:uid="{C30B6E43-6826-4267-AA12-9133A305E321}" name="AfA_Jahr"/>
    <tableColumn id="7" xr3:uid="{E8491D96-F8ED-45A2-BAC5-3222232B883E}" name="Ist_Kal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8C42B-5236-4CE0-A88B-1539C932E3AB}" name="Monatsexporte" displayName="Monatsexporte" ref="A1:E1030" tableType="queryTable" totalsRowShown="0">
  <autoFilter ref="A1:E1030" xr:uid="{9EF8C42B-5236-4CE0-A88B-1539C932E3AB}"/>
  <tableColumns count="5">
    <tableColumn id="1" xr3:uid="{54370C6B-F91F-446E-A0E8-18A11EE6E5C4}" uniqueName="1" name="Jahr" queryTableFieldId="1"/>
    <tableColumn id="2" xr3:uid="{F053E8B6-03EA-4ED1-BFA9-A1E1B827149D}" uniqueName="2" name="Monat" queryTableFieldId="2"/>
    <tableColumn id="3" xr3:uid="{E5894071-B723-4DD1-9A9D-D5B71B8520A7}" uniqueName="3" name="Konto" queryTableFieldId="3" dataDxfId="1"/>
    <tableColumn id="4" xr3:uid="{57C03175-48A7-4967-96FF-959C4F585AA2}" uniqueName="4" name="Bezeichnung" queryTableFieldId="4" dataDxfId="2"/>
    <tableColumn id="5" xr3:uid="{AB2F7B1B-03FC-476E-9534-E42CF0803DA8}" uniqueName="5" name="Saldo" queryTableFieldId="5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E977A9-3BAF-4329-84BC-949404811A81}" name="KalkWerte" displayName="KalkWerte" ref="A1:F7" totalsRowShown="0">
  <autoFilter ref="A1:F7" xr:uid="{ECE977A9-3BAF-4329-84BC-949404811A81}"/>
  <tableColumns count="6">
    <tableColumn id="1" xr3:uid="{4ADA3FFA-2C8B-4947-A929-F9D924796EC7}" name="Typ"/>
    <tableColumn id="2" xr3:uid="{04AA720E-7DA0-4CF1-AD8E-DA5F2E81CBE6}" name="Bezeichnung"/>
    <tableColumn id="3" xr3:uid="{7C9F3DF9-549E-414D-AE68-1275F045628F}" name="Konto"/>
    <tableColumn id="4" xr3:uid="{C994EF48-0B37-4721-A900-5DBCA8916E81}" name="Jahresbetrag_VJ"/>
    <tableColumn id="5" xr3:uid="{185C5792-6A16-4674-8F34-BEC9FA483EAE}" name="Monatsbetrag">
      <calculatedColumnFormula>D2/12</calculatedColumnFormula>
    </tableColumn>
    <tableColumn id="6" xr3:uid="{94C17EE6-2F29-4EF0-9788-7296F59F86B1}" name="Form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FDAE-6AD8-4C5B-A9BB-13795743DB2C}">
  <dimension ref="A1:AQ156"/>
  <sheetViews>
    <sheetView tabSelected="1" workbookViewId="0">
      <pane xSplit="2" ySplit="10" topLeftCell="C137" activePane="bottomRight" state="frozen"/>
      <selection pane="topRight" activeCell="C1" sqref="C1"/>
      <selection pane="bottomLeft" activeCell="A11" sqref="A11"/>
      <selection pane="bottomRight" activeCell="D11" sqref="D11"/>
    </sheetView>
  </sheetViews>
  <sheetFormatPr baseColWidth="10" defaultRowHeight="14.25" outlineLevelRow="1" x14ac:dyDescent="0.45"/>
  <cols>
    <col min="1" max="1" width="38.73046875" customWidth="1"/>
    <col min="2" max="2" width="12.73046875" style="39" customWidth="1"/>
    <col min="3" max="6" width="11.73046875" customWidth="1"/>
    <col min="7" max="7" width="8.73046875" customWidth="1"/>
    <col min="8" max="9" width="9.73046875" customWidth="1"/>
    <col min="10" max="10" width="7.73046875" customWidth="1"/>
    <col min="11" max="12" width="9.73046875" customWidth="1"/>
    <col min="13" max="13" width="7.73046875" customWidth="1"/>
    <col min="14" max="15" width="9.73046875" customWidth="1"/>
    <col min="16" max="16" width="7.73046875" customWidth="1"/>
    <col min="17" max="18" width="9.73046875" customWidth="1"/>
    <col min="19" max="19" width="7.73046875" customWidth="1"/>
    <col min="20" max="21" width="9.73046875" customWidth="1"/>
    <col min="22" max="22" width="7.73046875" customWidth="1"/>
    <col min="23" max="24" width="9.73046875" customWidth="1"/>
    <col min="25" max="25" width="7.73046875" customWidth="1"/>
    <col min="26" max="27" width="9.73046875" customWidth="1"/>
    <col min="28" max="28" width="7.73046875" customWidth="1"/>
    <col min="29" max="30" width="9.73046875" customWidth="1"/>
    <col min="31" max="31" width="7.73046875" customWidth="1"/>
    <col min="32" max="33" width="9.73046875" customWidth="1"/>
    <col min="34" max="34" width="7.73046875" customWidth="1"/>
    <col min="35" max="36" width="9.73046875" customWidth="1"/>
    <col min="37" max="37" width="7.73046875" customWidth="1"/>
    <col min="38" max="39" width="9.73046875" customWidth="1"/>
    <col min="40" max="40" width="7.73046875" customWidth="1"/>
    <col min="41" max="42" width="9.73046875" customWidth="1"/>
    <col min="43" max="43" width="7.73046875" customWidth="1"/>
  </cols>
  <sheetData>
    <row r="1" spans="1:43" ht="23.25" x14ac:dyDescent="0.7">
      <c r="A1" s="2" t="s">
        <v>46</v>
      </c>
    </row>
    <row r="2" spans="1:43" x14ac:dyDescent="0.45">
      <c r="A2" s="5" t="s">
        <v>376</v>
      </c>
    </row>
    <row r="4" spans="1:43" x14ac:dyDescent="0.45">
      <c r="A4" t="s">
        <v>377</v>
      </c>
      <c r="B4" s="40">
        <f>MAX(Monatsexporte[Jahr])</f>
        <v>2026</v>
      </c>
    </row>
    <row r="5" spans="1:43" x14ac:dyDescent="0.45">
      <c r="A5" t="s">
        <v>378</v>
      </c>
      <c r="B5" s="40">
        <f>B4-1</f>
        <v>2025</v>
      </c>
    </row>
    <row r="6" spans="1:43" x14ac:dyDescent="0.45">
      <c r="A6" t="s">
        <v>537</v>
      </c>
      <c r="B6" s="40">
        <f>MAX(Monatsexporte[Monat])</f>
        <v>5</v>
      </c>
    </row>
    <row r="7" spans="1:43" x14ac:dyDescent="0.45">
      <c r="A7" t="s">
        <v>379</v>
      </c>
      <c r="B7" s="39">
        <f ca="1">TODAY()</f>
        <v>46196</v>
      </c>
    </row>
    <row r="8" spans="1:43" x14ac:dyDescent="0.45">
      <c r="A8" t="s">
        <v>538</v>
      </c>
      <c r="B8" s="41">
        <f ca="1">IF(DAY(TODAY())&gt;=15,MONTH(TODAY())-1,MONTH(TODAY())-2)</f>
        <v>5</v>
      </c>
    </row>
    <row r="9" spans="1:43" x14ac:dyDescent="0.45">
      <c r="A9" s="6"/>
      <c r="B9" s="42"/>
      <c r="C9" s="6"/>
      <c r="D9" s="50" t="s">
        <v>539</v>
      </c>
      <c r="E9" s="50"/>
      <c r="F9" s="50"/>
      <c r="G9" s="50"/>
      <c r="H9" s="7" t="s">
        <v>380</v>
      </c>
      <c r="I9" s="7"/>
      <c r="J9" s="7"/>
      <c r="K9" s="7" t="s">
        <v>381</v>
      </c>
      <c r="L9" s="7"/>
      <c r="M9" s="7"/>
      <c r="N9" s="7" t="s">
        <v>382</v>
      </c>
      <c r="O9" s="7"/>
      <c r="P9" s="7"/>
      <c r="Q9" s="7" t="s">
        <v>383</v>
      </c>
      <c r="R9" s="7"/>
      <c r="S9" s="7"/>
      <c r="T9" s="7" t="s">
        <v>384</v>
      </c>
      <c r="U9" s="7"/>
      <c r="V9" s="7"/>
      <c r="W9" s="7" t="s">
        <v>385</v>
      </c>
      <c r="X9" s="7"/>
      <c r="Y9" s="7"/>
      <c r="Z9" s="7" t="s">
        <v>386</v>
      </c>
      <c r="AA9" s="7"/>
      <c r="AB9" s="7"/>
      <c r="AC9" s="7" t="s">
        <v>387</v>
      </c>
      <c r="AD9" s="7"/>
      <c r="AE9" s="7"/>
      <c r="AF9" s="7" t="s">
        <v>388</v>
      </c>
      <c r="AG9" s="7"/>
      <c r="AH9" s="7"/>
      <c r="AI9" s="7" t="s">
        <v>389</v>
      </c>
      <c r="AJ9" s="7"/>
      <c r="AK9" s="7"/>
      <c r="AL9" s="7" t="s">
        <v>390</v>
      </c>
      <c r="AM9" s="7"/>
      <c r="AN9" s="7"/>
      <c r="AO9" s="7" t="s">
        <v>391</v>
      </c>
      <c r="AP9" s="7"/>
      <c r="AQ9" s="7"/>
    </row>
    <row r="10" spans="1:43" x14ac:dyDescent="0.45">
      <c r="A10" s="8" t="s">
        <v>2</v>
      </c>
      <c r="B10" s="43" t="s">
        <v>0</v>
      </c>
      <c r="C10" s="8" t="s">
        <v>392</v>
      </c>
      <c r="D10" s="34" t="s">
        <v>395</v>
      </c>
      <c r="E10" s="34" t="s">
        <v>396</v>
      </c>
      <c r="F10" s="34" t="s">
        <v>393</v>
      </c>
      <c r="G10" s="34" t="s">
        <v>394</v>
      </c>
      <c r="H10" s="8" t="s">
        <v>395</v>
      </c>
      <c r="I10" s="8" t="s">
        <v>396</v>
      </c>
      <c r="J10" s="8" t="s">
        <v>394</v>
      </c>
      <c r="K10" s="8" t="s">
        <v>395</v>
      </c>
      <c r="L10" s="8" t="s">
        <v>396</v>
      </c>
      <c r="M10" s="8" t="s">
        <v>394</v>
      </c>
      <c r="N10" s="8" t="s">
        <v>395</v>
      </c>
      <c r="O10" s="8" t="s">
        <v>396</v>
      </c>
      <c r="P10" s="8" t="s">
        <v>394</v>
      </c>
      <c r="Q10" s="8" t="s">
        <v>395</v>
      </c>
      <c r="R10" s="8" t="s">
        <v>396</v>
      </c>
      <c r="S10" s="8" t="s">
        <v>394</v>
      </c>
      <c r="T10" s="8" t="s">
        <v>395</v>
      </c>
      <c r="U10" s="8" t="s">
        <v>396</v>
      </c>
      <c r="V10" s="8" t="s">
        <v>394</v>
      </c>
      <c r="W10" s="8" t="s">
        <v>395</v>
      </c>
      <c r="X10" s="8" t="s">
        <v>396</v>
      </c>
      <c r="Y10" s="8" t="s">
        <v>394</v>
      </c>
      <c r="Z10" s="8" t="s">
        <v>395</v>
      </c>
      <c r="AA10" s="8" t="s">
        <v>396</v>
      </c>
      <c r="AB10" s="8" t="s">
        <v>394</v>
      </c>
      <c r="AC10" s="8" t="s">
        <v>395</v>
      </c>
      <c r="AD10" s="8" t="s">
        <v>396</v>
      </c>
      <c r="AE10" s="8" t="s">
        <v>394</v>
      </c>
      <c r="AF10" s="8" t="s">
        <v>395</v>
      </c>
      <c r="AG10" s="8" t="s">
        <v>396</v>
      </c>
      <c r="AH10" s="8" t="s">
        <v>394</v>
      </c>
      <c r="AI10" s="8" t="s">
        <v>395</v>
      </c>
      <c r="AJ10" s="8" t="s">
        <v>396</v>
      </c>
      <c r="AK10" s="8" t="s">
        <v>394</v>
      </c>
      <c r="AL10" s="8" t="s">
        <v>395</v>
      </c>
      <c r="AM10" s="8" t="s">
        <v>396</v>
      </c>
      <c r="AN10" s="8" t="s">
        <v>394</v>
      </c>
      <c r="AO10" s="8" t="s">
        <v>395</v>
      </c>
      <c r="AP10" s="8" t="s">
        <v>396</v>
      </c>
      <c r="AQ10" s="8" t="s">
        <v>394</v>
      </c>
    </row>
    <row r="11" spans="1:43" x14ac:dyDescent="0.45">
      <c r="A11" s="9" t="s">
        <v>397</v>
      </c>
      <c r="B11" s="44"/>
      <c r="C11" s="14"/>
      <c r="D11" s="14"/>
      <c r="E11" s="14"/>
      <c r="F11" s="14"/>
      <c r="G11" s="21"/>
      <c r="H11" s="14"/>
      <c r="I11" s="14"/>
      <c r="J11" s="21"/>
      <c r="K11" s="14"/>
      <c r="L11" s="14"/>
      <c r="M11" s="21"/>
      <c r="N11" s="14"/>
      <c r="O11" s="14"/>
      <c r="P11" s="21"/>
      <c r="Q11" s="14"/>
      <c r="R11" s="14"/>
      <c r="S11" s="21"/>
      <c r="T11" s="14"/>
      <c r="U11" s="14"/>
      <c r="V11" s="21"/>
      <c r="W11" s="14"/>
      <c r="X11" s="14"/>
      <c r="Y11" s="21"/>
      <c r="Z11" s="14"/>
      <c r="AA11" s="14"/>
      <c r="AB11" s="21"/>
      <c r="AC11" s="14"/>
      <c r="AD11" s="14"/>
      <c r="AE11" s="21"/>
      <c r="AF11" s="14"/>
      <c r="AG11" s="14"/>
      <c r="AH11" s="21"/>
      <c r="AI11" s="14"/>
      <c r="AJ11" s="14"/>
      <c r="AK11" s="21"/>
      <c r="AL11" s="14"/>
      <c r="AM11" s="14"/>
      <c r="AN11" s="21"/>
      <c r="AO11" s="14"/>
      <c r="AP11" s="14"/>
      <c r="AQ11" s="21"/>
    </row>
    <row r="12" spans="1:43" hidden="1" outlineLevel="1" x14ac:dyDescent="0.45">
      <c r="A12" s="10" t="s">
        <v>400</v>
      </c>
      <c r="B12" s="39">
        <v>600101010</v>
      </c>
      <c r="C12" s="15">
        <v>38752</v>
      </c>
      <c r="D12" s="15">
        <f ca="1">SUMIFS(Monatsexporte[Saldo],Monatsexporte[Jahr],$B$4,Monatsexporte[Monat],"&lt;="&amp;$B$8,Monatsexporte[Konto],B12)</f>
        <v>116254.56</v>
      </c>
      <c r="E12" s="15">
        <f ca="1">SUMIFS(Monatsexporte[Saldo],Monatsexporte[Jahr],$B$5,Monatsexporte[Monat],"&lt;="&amp;$B$8,Monatsexporte[Konto],B12)</f>
        <v>0</v>
      </c>
      <c r="F12" s="15">
        <f t="shared" ref="F12:F41" ca="1" si="0">D12-E12</f>
        <v>116254.56</v>
      </c>
      <c r="G12" s="22">
        <f t="shared" ref="G12:G41" ca="1" si="1">IF(E12=0,0,D12/E12-1)</f>
        <v>0</v>
      </c>
      <c r="H12" s="15">
        <f>SUMIFS(Monatsexporte[Saldo],Monatsexporte[Jahr],$B$4,Monatsexporte[Monat],1,Monatsexporte[Konto],B12)</f>
        <v>0</v>
      </c>
      <c r="I12" s="15">
        <f>SUMIFS(Monatsexporte[Saldo],Monatsexporte[Jahr],$B$5,Monatsexporte[Monat],1,Monatsexporte[Konto],B12)</f>
        <v>0</v>
      </c>
      <c r="J12" s="22">
        <f t="shared" ref="J12:J41" si="2">IF(I12=0,0,H12/I12-1)</f>
        <v>0</v>
      </c>
      <c r="K12" s="15">
        <f>SUMIFS(Monatsexporte[Saldo],Monatsexporte[Jahr],$B$4,Monatsexporte[Monat],2,Monatsexporte[Konto],B12)</f>
        <v>0</v>
      </c>
      <c r="L12" s="15">
        <f>SUMIFS(Monatsexporte[Saldo],Monatsexporte[Jahr],$B$5,Monatsexporte[Monat],2,Monatsexporte[Konto],B12)</f>
        <v>0</v>
      </c>
      <c r="M12" s="22">
        <f t="shared" ref="M12:M41" si="3">IF(L12=0,0,K12/L12-1)</f>
        <v>0</v>
      </c>
      <c r="N12" s="15">
        <f>SUMIFS(Monatsexporte[Saldo],Monatsexporte[Jahr],$B$4,Monatsexporte[Monat],3,Monatsexporte[Konto],B12)</f>
        <v>38751.519999999997</v>
      </c>
      <c r="O12" s="15">
        <f>SUMIFS(Monatsexporte[Saldo],Monatsexporte[Jahr],$B$5,Monatsexporte[Monat],3,Monatsexporte[Konto],B12)</f>
        <v>0</v>
      </c>
      <c r="P12" s="22">
        <f t="shared" ref="P12:P41" si="4">IF(O12=0,0,N12/O12-1)</f>
        <v>0</v>
      </c>
      <c r="Q12" s="15">
        <f>SUMIFS(Monatsexporte[Saldo],Monatsexporte[Jahr],$B$4,Monatsexporte[Monat],4,Monatsexporte[Konto],B12)</f>
        <v>38751.519999999997</v>
      </c>
      <c r="R12" s="15">
        <f>SUMIFS(Monatsexporte[Saldo],Monatsexporte[Jahr],$B$5,Monatsexporte[Monat],4,Monatsexporte[Konto],B12)</f>
        <v>0</v>
      </c>
      <c r="S12" s="22">
        <f t="shared" ref="S12:S41" si="5">IF(R12=0,0,Q12/R12-1)</f>
        <v>0</v>
      </c>
      <c r="T12" s="15">
        <f>SUMIFS(Monatsexporte[Saldo],Monatsexporte[Jahr],$B$4,Monatsexporte[Monat],5,Monatsexporte[Konto],B12)</f>
        <v>38751.519999999997</v>
      </c>
      <c r="U12" s="15">
        <f>SUMIFS(Monatsexporte[Saldo],Monatsexporte[Jahr],$B$5,Monatsexporte[Monat],5,Monatsexporte[Konto],B12)</f>
        <v>0</v>
      </c>
      <c r="V12" s="22">
        <f t="shared" ref="V12:V41" si="6">IF(U12=0,0,T12/U12-1)</f>
        <v>0</v>
      </c>
      <c r="W12" s="15">
        <f>SUMIFS(Monatsexporte[Saldo],Monatsexporte[Jahr],$B$4,Monatsexporte[Monat],6,Monatsexporte[Konto],B12)</f>
        <v>0</v>
      </c>
      <c r="X12" s="15">
        <f>SUMIFS(Monatsexporte[Saldo],Monatsexporte[Jahr],$B$5,Monatsexporte[Monat],6,Monatsexporte[Konto],B12)</f>
        <v>0</v>
      </c>
      <c r="Y12" s="22">
        <f t="shared" ref="Y12:Y41" si="7">IF(X12=0,0,W12/X12-1)</f>
        <v>0</v>
      </c>
      <c r="Z12" s="15">
        <f>SUMIFS(Monatsexporte[Saldo],Monatsexporte[Jahr],$B$4,Monatsexporte[Monat],7,Monatsexporte[Konto],B12)</f>
        <v>0</v>
      </c>
      <c r="AA12" s="15">
        <f>SUMIFS(Monatsexporte[Saldo],Monatsexporte[Jahr],$B$5,Monatsexporte[Monat],7,Monatsexporte[Konto],B12)</f>
        <v>0</v>
      </c>
      <c r="AB12" s="22">
        <f t="shared" ref="AB12:AB41" si="8">IF(AA12=0,0,Z12/AA12-1)</f>
        <v>0</v>
      </c>
      <c r="AC12" s="15">
        <f>SUMIFS(Monatsexporte[Saldo],Monatsexporte[Jahr],$B$4,Monatsexporte[Monat],8,Monatsexporte[Konto],B12)</f>
        <v>0</v>
      </c>
      <c r="AD12" s="15">
        <f>SUMIFS(Monatsexporte[Saldo],Monatsexporte[Jahr],$B$5,Monatsexporte[Monat],8,Monatsexporte[Konto],B12)</f>
        <v>0</v>
      </c>
      <c r="AE12" s="22">
        <f t="shared" ref="AE12:AE41" si="9">IF(AD12=0,0,AC12/AD12-1)</f>
        <v>0</v>
      </c>
      <c r="AF12" s="15">
        <f>SUMIFS(Monatsexporte[Saldo],Monatsexporte[Jahr],$B$4,Monatsexporte[Monat],9,Monatsexporte[Konto],B12)</f>
        <v>0</v>
      </c>
      <c r="AG12" s="15">
        <f>SUMIFS(Monatsexporte[Saldo],Monatsexporte[Jahr],$B$5,Monatsexporte[Monat],9,Monatsexporte[Konto],B12)</f>
        <v>0</v>
      </c>
      <c r="AH12" s="22">
        <f t="shared" ref="AH12:AH41" si="10">IF(AG12=0,0,AF12/AG12-1)</f>
        <v>0</v>
      </c>
      <c r="AI12" s="15">
        <f>SUMIFS(Monatsexporte[Saldo],Monatsexporte[Jahr],$B$4,Monatsexporte[Monat],10,Monatsexporte[Konto],B12)</f>
        <v>0</v>
      </c>
      <c r="AJ12" s="15">
        <f>SUMIFS(Monatsexporte[Saldo],Monatsexporte[Jahr],$B$5,Monatsexporte[Monat],10,Monatsexporte[Konto],B12)</f>
        <v>0</v>
      </c>
      <c r="AK12" s="22">
        <f t="shared" ref="AK12:AK41" si="11">IF(AJ12=0,0,AI12/AJ12-1)</f>
        <v>0</v>
      </c>
      <c r="AL12" s="15">
        <f>SUMIFS(Monatsexporte[Saldo],Monatsexporte[Jahr],$B$4,Monatsexporte[Monat],11,Monatsexporte[Konto],B12)</f>
        <v>0</v>
      </c>
      <c r="AM12" s="15">
        <f>SUMIFS(Monatsexporte[Saldo],Monatsexporte[Jahr],$B$5,Monatsexporte[Monat],11,Monatsexporte[Konto],B12)</f>
        <v>0</v>
      </c>
      <c r="AN12" s="22">
        <f t="shared" ref="AN12:AN41" si="12">IF(AM12=0,0,AL12/AM12-1)</f>
        <v>0</v>
      </c>
      <c r="AO12" s="15">
        <f>SUMIFS(Monatsexporte[Saldo],Monatsexporte[Jahr],$B$4,Monatsexporte[Monat],12,Monatsexporte[Konto],B12)</f>
        <v>0</v>
      </c>
      <c r="AP12" s="15">
        <f>SUMIFS(Monatsexporte[Saldo],Monatsexporte[Jahr],$B$5,Monatsexporte[Monat],12,Monatsexporte[Konto],B12)</f>
        <v>0</v>
      </c>
      <c r="AQ12" s="22">
        <f t="shared" ref="AQ12:AQ41" si="13">IF(AP12=0,0,AO12/AP12-1)</f>
        <v>0</v>
      </c>
    </row>
    <row r="13" spans="1:43" hidden="1" outlineLevel="1" x14ac:dyDescent="0.45">
      <c r="A13" s="10" t="s">
        <v>401</v>
      </c>
      <c r="B13" s="39">
        <v>60010101550</v>
      </c>
      <c r="C13" s="15">
        <v>36400</v>
      </c>
      <c r="D13" s="15">
        <f ca="1">SUMIFS(Monatsexporte[Saldo],Monatsexporte[Jahr],$B$4,Monatsexporte[Monat],"&lt;="&amp;$B$8,Monatsexporte[Konto],B13)</f>
        <v>109200</v>
      </c>
      <c r="E13" s="15">
        <f ca="1">SUMIFS(Monatsexporte[Saldo],Monatsexporte[Jahr],$B$5,Monatsexporte[Monat],"&lt;="&amp;$B$8,Monatsexporte[Konto],B13)</f>
        <v>0</v>
      </c>
      <c r="F13" s="15">
        <f t="shared" ca="1" si="0"/>
        <v>109200</v>
      </c>
      <c r="G13" s="22">
        <f t="shared" ca="1" si="1"/>
        <v>0</v>
      </c>
      <c r="H13" s="15">
        <f>SUMIFS(Monatsexporte[Saldo],Monatsexporte[Jahr],$B$4,Monatsexporte[Monat],1,Monatsexporte[Konto],B13)</f>
        <v>0</v>
      </c>
      <c r="I13" s="15">
        <f>SUMIFS(Monatsexporte[Saldo],Monatsexporte[Jahr],$B$5,Monatsexporte[Monat],1,Monatsexporte[Konto],B13)</f>
        <v>0</v>
      </c>
      <c r="J13" s="22">
        <f t="shared" si="2"/>
        <v>0</v>
      </c>
      <c r="K13" s="15">
        <f>SUMIFS(Monatsexporte[Saldo],Monatsexporte[Jahr],$B$4,Monatsexporte[Monat],2,Monatsexporte[Konto],B13)</f>
        <v>0</v>
      </c>
      <c r="L13" s="15">
        <f>SUMIFS(Monatsexporte[Saldo],Monatsexporte[Jahr],$B$5,Monatsexporte[Monat],2,Monatsexporte[Konto],B13)</f>
        <v>0</v>
      </c>
      <c r="M13" s="22">
        <f t="shared" si="3"/>
        <v>0</v>
      </c>
      <c r="N13" s="15">
        <f>SUMIFS(Monatsexporte[Saldo],Monatsexporte[Jahr],$B$4,Monatsexporte[Monat],3,Monatsexporte[Konto],B13)</f>
        <v>36400</v>
      </c>
      <c r="O13" s="15">
        <f>SUMIFS(Monatsexporte[Saldo],Monatsexporte[Jahr],$B$5,Monatsexporte[Monat],3,Monatsexporte[Konto],B13)</f>
        <v>0</v>
      </c>
      <c r="P13" s="22">
        <f t="shared" si="4"/>
        <v>0</v>
      </c>
      <c r="Q13" s="15">
        <f>SUMIFS(Monatsexporte[Saldo],Monatsexporte[Jahr],$B$4,Monatsexporte[Monat],4,Monatsexporte[Konto],B13)</f>
        <v>36400</v>
      </c>
      <c r="R13" s="15">
        <f>SUMIFS(Monatsexporte[Saldo],Monatsexporte[Jahr],$B$5,Monatsexporte[Monat],4,Monatsexporte[Konto],B13)</f>
        <v>0</v>
      </c>
      <c r="S13" s="22">
        <f t="shared" si="5"/>
        <v>0</v>
      </c>
      <c r="T13" s="15">
        <f>SUMIFS(Monatsexporte[Saldo],Monatsexporte[Jahr],$B$4,Monatsexporte[Monat],5,Monatsexporte[Konto],B13)</f>
        <v>36400</v>
      </c>
      <c r="U13" s="15">
        <f>SUMIFS(Monatsexporte[Saldo],Monatsexporte[Jahr],$B$5,Monatsexporte[Monat],5,Monatsexporte[Konto],B13)</f>
        <v>0</v>
      </c>
      <c r="V13" s="22">
        <f t="shared" si="6"/>
        <v>0</v>
      </c>
      <c r="W13" s="15">
        <f>SUMIFS(Monatsexporte[Saldo],Monatsexporte[Jahr],$B$4,Monatsexporte[Monat],6,Monatsexporte[Konto],B13)</f>
        <v>0</v>
      </c>
      <c r="X13" s="15">
        <f>SUMIFS(Monatsexporte[Saldo],Monatsexporte[Jahr],$B$5,Monatsexporte[Monat],6,Monatsexporte[Konto],B13)</f>
        <v>0</v>
      </c>
      <c r="Y13" s="22">
        <f t="shared" si="7"/>
        <v>0</v>
      </c>
      <c r="Z13" s="15">
        <f>SUMIFS(Monatsexporte[Saldo],Monatsexporte[Jahr],$B$4,Monatsexporte[Monat],7,Monatsexporte[Konto],B13)</f>
        <v>0</v>
      </c>
      <c r="AA13" s="15">
        <f>SUMIFS(Monatsexporte[Saldo],Monatsexporte[Jahr],$B$5,Monatsexporte[Monat],7,Monatsexporte[Konto],B13)</f>
        <v>0</v>
      </c>
      <c r="AB13" s="22">
        <f t="shared" si="8"/>
        <v>0</v>
      </c>
      <c r="AC13" s="15">
        <f>SUMIFS(Monatsexporte[Saldo],Monatsexporte[Jahr],$B$4,Monatsexporte[Monat],8,Monatsexporte[Konto],B13)</f>
        <v>0</v>
      </c>
      <c r="AD13" s="15">
        <f>SUMIFS(Monatsexporte[Saldo],Monatsexporte[Jahr],$B$5,Monatsexporte[Monat],8,Monatsexporte[Konto],B13)</f>
        <v>0</v>
      </c>
      <c r="AE13" s="22">
        <f t="shared" si="9"/>
        <v>0</v>
      </c>
      <c r="AF13" s="15">
        <f>SUMIFS(Monatsexporte[Saldo],Monatsexporte[Jahr],$B$4,Monatsexporte[Monat],9,Monatsexporte[Konto],B13)</f>
        <v>0</v>
      </c>
      <c r="AG13" s="15">
        <f>SUMIFS(Monatsexporte[Saldo],Monatsexporte[Jahr],$B$5,Monatsexporte[Monat],9,Monatsexporte[Konto],B13)</f>
        <v>0</v>
      </c>
      <c r="AH13" s="22">
        <f t="shared" si="10"/>
        <v>0</v>
      </c>
      <c r="AI13" s="15">
        <f>SUMIFS(Monatsexporte[Saldo],Monatsexporte[Jahr],$B$4,Monatsexporte[Monat],10,Monatsexporte[Konto],B13)</f>
        <v>0</v>
      </c>
      <c r="AJ13" s="15">
        <f>SUMIFS(Monatsexporte[Saldo],Monatsexporte[Jahr],$B$5,Monatsexporte[Monat],10,Monatsexporte[Konto],B13)</f>
        <v>0</v>
      </c>
      <c r="AK13" s="22">
        <f t="shared" si="11"/>
        <v>0</v>
      </c>
      <c r="AL13" s="15">
        <f>SUMIFS(Monatsexporte[Saldo],Monatsexporte[Jahr],$B$4,Monatsexporte[Monat],11,Monatsexporte[Konto],B13)</f>
        <v>0</v>
      </c>
      <c r="AM13" s="15">
        <f>SUMIFS(Monatsexporte[Saldo],Monatsexporte[Jahr],$B$5,Monatsexporte[Monat],11,Monatsexporte[Konto],B13)</f>
        <v>0</v>
      </c>
      <c r="AN13" s="22">
        <f t="shared" si="12"/>
        <v>0</v>
      </c>
      <c r="AO13" s="15">
        <f>SUMIFS(Monatsexporte[Saldo],Monatsexporte[Jahr],$B$4,Monatsexporte[Monat],12,Monatsexporte[Konto],B13)</f>
        <v>0</v>
      </c>
      <c r="AP13" s="15">
        <f>SUMIFS(Monatsexporte[Saldo],Monatsexporte[Jahr],$B$5,Monatsexporte[Monat],12,Monatsexporte[Konto],B13)</f>
        <v>0</v>
      </c>
      <c r="AQ13" s="22">
        <f t="shared" si="13"/>
        <v>0</v>
      </c>
    </row>
    <row r="14" spans="1:43" hidden="1" outlineLevel="1" x14ac:dyDescent="0.45">
      <c r="A14" s="10" t="s">
        <v>402</v>
      </c>
      <c r="B14" s="39">
        <v>60010101551</v>
      </c>
      <c r="C14" s="15">
        <v>8624</v>
      </c>
      <c r="D14" s="15">
        <f ca="1">SUMIFS(Monatsexporte[Saldo],Monatsexporte[Jahr],$B$4,Monatsexporte[Monat],"&lt;="&amp;$B$8,Monatsexporte[Konto],B14)</f>
        <v>25871.67</v>
      </c>
      <c r="E14" s="15">
        <f ca="1">SUMIFS(Monatsexporte[Saldo],Monatsexporte[Jahr],$B$5,Monatsexporte[Monat],"&lt;="&amp;$B$8,Monatsexporte[Konto],B14)</f>
        <v>0</v>
      </c>
      <c r="F14" s="15">
        <f t="shared" ca="1" si="0"/>
        <v>25871.67</v>
      </c>
      <c r="G14" s="22">
        <f t="shared" ca="1" si="1"/>
        <v>0</v>
      </c>
      <c r="H14" s="15">
        <f>SUMIFS(Monatsexporte[Saldo],Monatsexporte[Jahr],$B$4,Monatsexporte[Monat],1,Monatsexporte[Konto],B14)</f>
        <v>0</v>
      </c>
      <c r="I14" s="15">
        <f>SUMIFS(Monatsexporte[Saldo],Monatsexporte[Jahr],$B$5,Monatsexporte[Monat],1,Monatsexporte[Konto],B14)</f>
        <v>0</v>
      </c>
      <c r="J14" s="22">
        <f t="shared" si="2"/>
        <v>0</v>
      </c>
      <c r="K14" s="15">
        <f>SUMIFS(Monatsexporte[Saldo],Monatsexporte[Jahr],$B$4,Monatsexporte[Monat],2,Monatsexporte[Konto],B14)</f>
        <v>0</v>
      </c>
      <c r="L14" s="15">
        <f>SUMIFS(Monatsexporte[Saldo],Monatsexporte[Jahr],$B$5,Monatsexporte[Monat],2,Monatsexporte[Konto],B14)</f>
        <v>0</v>
      </c>
      <c r="M14" s="22">
        <f t="shared" si="3"/>
        <v>0</v>
      </c>
      <c r="N14" s="15">
        <f>SUMIFS(Monatsexporte[Saldo],Monatsexporte[Jahr],$B$4,Monatsexporte[Monat],3,Monatsexporte[Konto],B14)</f>
        <v>8623.89</v>
      </c>
      <c r="O14" s="15">
        <f>SUMIFS(Monatsexporte[Saldo],Monatsexporte[Jahr],$B$5,Monatsexporte[Monat],3,Monatsexporte[Konto],B14)</f>
        <v>0</v>
      </c>
      <c r="P14" s="22">
        <f t="shared" si="4"/>
        <v>0</v>
      </c>
      <c r="Q14" s="15">
        <f>SUMIFS(Monatsexporte[Saldo],Monatsexporte[Jahr],$B$4,Monatsexporte[Monat],4,Monatsexporte[Konto],B14)</f>
        <v>8623.89</v>
      </c>
      <c r="R14" s="15">
        <f>SUMIFS(Monatsexporte[Saldo],Monatsexporte[Jahr],$B$5,Monatsexporte[Monat],4,Monatsexporte[Konto],B14)</f>
        <v>0</v>
      </c>
      <c r="S14" s="22">
        <f t="shared" si="5"/>
        <v>0</v>
      </c>
      <c r="T14" s="15">
        <f>SUMIFS(Monatsexporte[Saldo],Monatsexporte[Jahr],$B$4,Monatsexporte[Monat],5,Monatsexporte[Konto],B14)</f>
        <v>8623.89</v>
      </c>
      <c r="U14" s="15">
        <f>SUMIFS(Monatsexporte[Saldo],Monatsexporte[Jahr],$B$5,Monatsexporte[Monat],5,Monatsexporte[Konto],B14)</f>
        <v>0</v>
      </c>
      <c r="V14" s="22">
        <f t="shared" si="6"/>
        <v>0</v>
      </c>
      <c r="W14" s="15">
        <f>SUMIFS(Monatsexporte[Saldo],Monatsexporte[Jahr],$B$4,Monatsexporte[Monat],6,Monatsexporte[Konto],B14)</f>
        <v>0</v>
      </c>
      <c r="X14" s="15">
        <f>SUMIFS(Monatsexporte[Saldo],Monatsexporte[Jahr],$B$5,Monatsexporte[Monat],6,Monatsexporte[Konto],B14)</f>
        <v>0</v>
      </c>
      <c r="Y14" s="22">
        <f t="shared" si="7"/>
        <v>0</v>
      </c>
      <c r="Z14" s="15">
        <f>SUMIFS(Monatsexporte[Saldo],Monatsexporte[Jahr],$B$4,Monatsexporte[Monat],7,Monatsexporte[Konto],B14)</f>
        <v>0</v>
      </c>
      <c r="AA14" s="15">
        <f>SUMIFS(Monatsexporte[Saldo],Monatsexporte[Jahr],$B$5,Monatsexporte[Monat],7,Monatsexporte[Konto],B14)</f>
        <v>0</v>
      </c>
      <c r="AB14" s="22">
        <f t="shared" si="8"/>
        <v>0</v>
      </c>
      <c r="AC14" s="15">
        <f>SUMIFS(Monatsexporte[Saldo],Monatsexporte[Jahr],$B$4,Monatsexporte[Monat],8,Monatsexporte[Konto],B14)</f>
        <v>0</v>
      </c>
      <c r="AD14" s="15">
        <f>SUMIFS(Monatsexporte[Saldo],Monatsexporte[Jahr],$B$5,Monatsexporte[Monat],8,Monatsexporte[Konto],B14)</f>
        <v>0</v>
      </c>
      <c r="AE14" s="22">
        <f t="shared" si="9"/>
        <v>0</v>
      </c>
      <c r="AF14" s="15">
        <f>SUMIFS(Monatsexporte[Saldo],Monatsexporte[Jahr],$B$4,Monatsexporte[Monat],9,Monatsexporte[Konto],B14)</f>
        <v>0</v>
      </c>
      <c r="AG14" s="15">
        <f>SUMIFS(Monatsexporte[Saldo],Monatsexporte[Jahr],$B$5,Monatsexporte[Monat],9,Monatsexporte[Konto],B14)</f>
        <v>0</v>
      </c>
      <c r="AH14" s="22">
        <f t="shared" si="10"/>
        <v>0</v>
      </c>
      <c r="AI14" s="15">
        <f>SUMIFS(Monatsexporte[Saldo],Monatsexporte[Jahr],$B$4,Monatsexporte[Monat],10,Monatsexporte[Konto],B14)</f>
        <v>0</v>
      </c>
      <c r="AJ14" s="15">
        <f>SUMIFS(Monatsexporte[Saldo],Monatsexporte[Jahr],$B$5,Monatsexporte[Monat],10,Monatsexporte[Konto],B14)</f>
        <v>0</v>
      </c>
      <c r="AK14" s="22">
        <f t="shared" si="11"/>
        <v>0</v>
      </c>
      <c r="AL14" s="15">
        <f>SUMIFS(Monatsexporte[Saldo],Monatsexporte[Jahr],$B$4,Monatsexporte[Monat],11,Monatsexporte[Konto],B14)</f>
        <v>0</v>
      </c>
      <c r="AM14" s="15">
        <f>SUMIFS(Monatsexporte[Saldo],Monatsexporte[Jahr],$B$5,Monatsexporte[Monat],11,Monatsexporte[Konto],B14)</f>
        <v>0</v>
      </c>
      <c r="AN14" s="22">
        <f t="shared" si="12"/>
        <v>0</v>
      </c>
      <c r="AO14" s="15">
        <f>SUMIFS(Monatsexporte[Saldo],Monatsexporte[Jahr],$B$4,Monatsexporte[Monat],12,Monatsexporte[Konto],B14)</f>
        <v>0</v>
      </c>
      <c r="AP14" s="15">
        <f>SUMIFS(Monatsexporte[Saldo],Monatsexporte[Jahr],$B$5,Monatsexporte[Monat],12,Monatsexporte[Konto],B14)</f>
        <v>0</v>
      </c>
      <c r="AQ14" s="22">
        <f t="shared" si="13"/>
        <v>0</v>
      </c>
    </row>
    <row r="15" spans="1:43" hidden="1" outlineLevel="1" x14ac:dyDescent="0.45">
      <c r="A15" s="10" t="s">
        <v>403</v>
      </c>
      <c r="B15" s="39">
        <v>600101051</v>
      </c>
      <c r="C15" s="15">
        <v>10083</v>
      </c>
      <c r="D15" s="15">
        <f ca="1">SUMIFS(Monatsexporte[Saldo],Monatsexporte[Jahr],$B$4,Monatsexporte[Monat],"&lt;="&amp;$B$8,Monatsexporte[Konto],B15)</f>
        <v>30249.449999999997</v>
      </c>
      <c r="E15" s="15">
        <f ca="1">SUMIFS(Monatsexporte[Saldo],Monatsexporte[Jahr],$B$5,Monatsexporte[Monat],"&lt;="&amp;$B$8,Monatsexporte[Konto],B15)</f>
        <v>0</v>
      </c>
      <c r="F15" s="15">
        <f t="shared" ca="1" si="0"/>
        <v>30249.449999999997</v>
      </c>
      <c r="G15" s="22">
        <f t="shared" ca="1" si="1"/>
        <v>0</v>
      </c>
      <c r="H15" s="15">
        <f>SUMIFS(Monatsexporte[Saldo],Monatsexporte[Jahr],$B$4,Monatsexporte[Monat],1,Monatsexporte[Konto],B15)</f>
        <v>0</v>
      </c>
      <c r="I15" s="15">
        <f>SUMIFS(Monatsexporte[Saldo],Monatsexporte[Jahr],$B$5,Monatsexporte[Monat],1,Monatsexporte[Konto],B15)</f>
        <v>0</v>
      </c>
      <c r="J15" s="22">
        <f t="shared" si="2"/>
        <v>0</v>
      </c>
      <c r="K15" s="15">
        <f>SUMIFS(Monatsexporte[Saldo],Monatsexporte[Jahr],$B$4,Monatsexporte[Monat],2,Monatsexporte[Konto],B15)</f>
        <v>0</v>
      </c>
      <c r="L15" s="15">
        <f>SUMIFS(Monatsexporte[Saldo],Monatsexporte[Jahr],$B$5,Monatsexporte[Monat],2,Monatsexporte[Konto],B15)</f>
        <v>0</v>
      </c>
      <c r="M15" s="22">
        <f t="shared" si="3"/>
        <v>0</v>
      </c>
      <c r="N15" s="15">
        <f>SUMIFS(Monatsexporte[Saldo],Monatsexporte[Jahr],$B$4,Monatsexporte[Monat],3,Monatsexporte[Konto],B15)</f>
        <v>10083.15</v>
      </c>
      <c r="O15" s="15">
        <f>SUMIFS(Monatsexporte[Saldo],Monatsexporte[Jahr],$B$5,Monatsexporte[Monat],3,Monatsexporte[Konto],B15)</f>
        <v>0</v>
      </c>
      <c r="P15" s="22">
        <f t="shared" si="4"/>
        <v>0</v>
      </c>
      <c r="Q15" s="15">
        <f>SUMIFS(Monatsexporte[Saldo],Monatsexporte[Jahr],$B$4,Monatsexporte[Monat],4,Monatsexporte[Konto],B15)</f>
        <v>10083.15</v>
      </c>
      <c r="R15" s="15">
        <f>SUMIFS(Monatsexporte[Saldo],Monatsexporte[Jahr],$B$5,Monatsexporte[Monat],4,Monatsexporte[Konto],B15)</f>
        <v>0</v>
      </c>
      <c r="S15" s="22">
        <f t="shared" si="5"/>
        <v>0</v>
      </c>
      <c r="T15" s="15">
        <f>SUMIFS(Monatsexporte[Saldo],Monatsexporte[Jahr],$B$4,Monatsexporte[Monat],5,Monatsexporte[Konto],B15)</f>
        <v>10083.15</v>
      </c>
      <c r="U15" s="15">
        <f>SUMIFS(Monatsexporte[Saldo],Monatsexporte[Jahr],$B$5,Monatsexporte[Monat],5,Monatsexporte[Konto],B15)</f>
        <v>0</v>
      </c>
      <c r="V15" s="22">
        <f t="shared" si="6"/>
        <v>0</v>
      </c>
      <c r="W15" s="15">
        <f>SUMIFS(Monatsexporte[Saldo],Monatsexporte[Jahr],$B$4,Monatsexporte[Monat],6,Monatsexporte[Konto],B15)</f>
        <v>0</v>
      </c>
      <c r="X15" s="15">
        <f>SUMIFS(Monatsexporte[Saldo],Monatsexporte[Jahr],$B$5,Monatsexporte[Monat],6,Monatsexporte[Konto],B15)</f>
        <v>0</v>
      </c>
      <c r="Y15" s="22">
        <f t="shared" si="7"/>
        <v>0</v>
      </c>
      <c r="Z15" s="15">
        <f>SUMIFS(Monatsexporte[Saldo],Monatsexporte[Jahr],$B$4,Monatsexporte[Monat],7,Monatsexporte[Konto],B15)</f>
        <v>0</v>
      </c>
      <c r="AA15" s="15">
        <f>SUMIFS(Monatsexporte[Saldo],Monatsexporte[Jahr],$B$5,Monatsexporte[Monat],7,Monatsexporte[Konto],B15)</f>
        <v>0</v>
      </c>
      <c r="AB15" s="22">
        <f t="shared" si="8"/>
        <v>0</v>
      </c>
      <c r="AC15" s="15">
        <f>SUMIFS(Monatsexporte[Saldo],Monatsexporte[Jahr],$B$4,Monatsexporte[Monat],8,Monatsexporte[Konto],B15)</f>
        <v>0</v>
      </c>
      <c r="AD15" s="15">
        <f>SUMIFS(Monatsexporte[Saldo],Monatsexporte[Jahr],$B$5,Monatsexporte[Monat],8,Monatsexporte[Konto],B15)</f>
        <v>0</v>
      </c>
      <c r="AE15" s="22">
        <f t="shared" si="9"/>
        <v>0</v>
      </c>
      <c r="AF15" s="15">
        <f>SUMIFS(Monatsexporte[Saldo],Monatsexporte[Jahr],$B$4,Monatsexporte[Monat],9,Monatsexporte[Konto],B15)</f>
        <v>0</v>
      </c>
      <c r="AG15" s="15">
        <f>SUMIFS(Monatsexporte[Saldo],Monatsexporte[Jahr],$B$5,Monatsexporte[Monat],9,Monatsexporte[Konto],B15)</f>
        <v>0</v>
      </c>
      <c r="AH15" s="22">
        <f t="shared" si="10"/>
        <v>0</v>
      </c>
      <c r="AI15" s="15">
        <f>SUMIFS(Monatsexporte[Saldo],Monatsexporte[Jahr],$B$4,Monatsexporte[Monat],10,Monatsexporte[Konto],B15)</f>
        <v>0</v>
      </c>
      <c r="AJ15" s="15">
        <f>SUMIFS(Monatsexporte[Saldo],Monatsexporte[Jahr],$B$5,Monatsexporte[Monat],10,Monatsexporte[Konto],B15)</f>
        <v>0</v>
      </c>
      <c r="AK15" s="22">
        <f t="shared" si="11"/>
        <v>0</v>
      </c>
      <c r="AL15" s="15">
        <f>SUMIFS(Monatsexporte[Saldo],Monatsexporte[Jahr],$B$4,Monatsexporte[Monat],11,Monatsexporte[Konto],B15)</f>
        <v>0</v>
      </c>
      <c r="AM15" s="15">
        <f>SUMIFS(Monatsexporte[Saldo],Monatsexporte[Jahr],$B$5,Monatsexporte[Monat],11,Monatsexporte[Konto],B15)</f>
        <v>0</v>
      </c>
      <c r="AN15" s="22">
        <f t="shared" si="12"/>
        <v>0</v>
      </c>
      <c r="AO15" s="15">
        <f>SUMIFS(Monatsexporte[Saldo],Monatsexporte[Jahr],$B$4,Monatsexporte[Monat],12,Monatsexporte[Konto],B15)</f>
        <v>0</v>
      </c>
      <c r="AP15" s="15">
        <f>SUMIFS(Monatsexporte[Saldo],Monatsexporte[Jahr],$B$5,Monatsexporte[Monat],12,Monatsexporte[Konto],B15)</f>
        <v>0</v>
      </c>
      <c r="AQ15" s="22">
        <f t="shared" si="13"/>
        <v>0</v>
      </c>
    </row>
    <row r="16" spans="1:43" hidden="1" outlineLevel="1" x14ac:dyDescent="0.45">
      <c r="A16" s="10" t="s">
        <v>404</v>
      </c>
      <c r="B16" s="39">
        <v>600151051</v>
      </c>
      <c r="C16" s="15">
        <v>16248</v>
      </c>
      <c r="D16" s="15">
        <f ca="1">SUMIFS(Monatsexporte[Saldo],Monatsexporte[Jahr],$B$4,Monatsexporte[Monat],"&lt;="&amp;$B$8,Monatsexporte[Konto],B16)</f>
        <v>48744</v>
      </c>
      <c r="E16" s="15">
        <f ca="1">SUMIFS(Monatsexporte[Saldo],Monatsexporte[Jahr],$B$5,Monatsexporte[Monat],"&lt;="&amp;$B$8,Monatsexporte[Konto],B16)</f>
        <v>0</v>
      </c>
      <c r="F16" s="15">
        <f t="shared" ca="1" si="0"/>
        <v>48744</v>
      </c>
      <c r="G16" s="22">
        <f t="shared" ca="1" si="1"/>
        <v>0</v>
      </c>
      <c r="H16" s="15">
        <f>SUMIFS(Monatsexporte[Saldo],Monatsexporte[Jahr],$B$4,Monatsexporte[Monat],1,Monatsexporte[Konto],B16)</f>
        <v>0</v>
      </c>
      <c r="I16" s="15">
        <f>SUMIFS(Monatsexporte[Saldo],Monatsexporte[Jahr],$B$5,Monatsexporte[Monat],1,Monatsexporte[Konto],B16)</f>
        <v>0</v>
      </c>
      <c r="J16" s="22">
        <f t="shared" si="2"/>
        <v>0</v>
      </c>
      <c r="K16" s="15">
        <f>SUMIFS(Monatsexporte[Saldo],Monatsexporte[Jahr],$B$4,Monatsexporte[Monat],2,Monatsexporte[Konto],B16)</f>
        <v>0</v>
      </c>
      <c r="L16" s="15">
        <f>SUMIFS(Monatsexporte[Saldo],Monatsexporte[Jahr],$B$5,Monatsexporte[Monat],2,Monatsexporte[Konto],B16)</f>
        <v>0</v>
      </c>
      <c r="M16" s="22">
        <f t="shared" si="3"/>
        <v>0</v>
      </c>
      <c r="N16" s="15">
        <f>SUMIFS(Monatsexporte[Saldo],Monatsexporte[Jahr],$B$4,Monatsexporte[Monat],3,Monatsexporte[Konto],B16)</f>
        <v>16248</v>
      </c>
      <c r="O16" s="15">
        <f>SUMIFS(Monatsexporte[Saldo],Monatsexporte[Jahr],$B$5,Monatsexporte[Monat],3,Monatsexporte[Konto],B16)</f>
        <v>0</v>
      </c>
      <c r="P16" s="22">
        <f t="shared" si="4"/>
        <v>0</v>
      </c>
      <c r="Q16" s="15">
        <f>SUMIFS(Monatsexporte[Saldo],Monatsexporte[Jahr],$B$4,Monatsexporte[Monat],4,Monatsexporte[Konto],B16)</f>
        <v>16248</v>
      </c>
      <c r="R16" s="15">
        <f>SUMIFS(Monatsexporte[Saldo],Monatsexporte[Jahr],$B$5,Monatsexporte[Monat],4,Monatsexporte[Konto],B16)</f>
        <v>0</v>
      </c>
      <c r="S16" s="22">
        <f t="shared" si="5"/>
        <v>0</v>
      </c>
      <c r="T16" s="15">
        <f>SUMIFS(Monatsexporte[Saldo],Monatsexporte[Jahr],$B$4,Monatsexporte[Monat],5,Monatsexporte[Konto],B16)</f>
        <v>16248</v>
      </c>
      <c r="U16" s="15">
        <f>SUMIFS(Monatsexporte[Saldo],Monatsexporte[Jahr],$B$5,Monatsexporte[Monat],5,Monatsexporte[Konto],B16)</f>
        <v>0</v>
      </c>
      <c r="V16" s="22">
        <f t="shared" si="6"/>
        <v>0</v>
      </c>
      <c r="W16" s="15">
        <f>SUMIFS(Monatsexporte[Saldo],Monatsexporte[Jahr],$B$4,Monatsexporte[Monat],6,Monatsexporte[Konto],B16)</f>
        <v>0</v>
      </c>
      <c r="X16" s="15">
        <f>SUMIFS(Monatsexporte[Saldo],Monatsexporte[Jahr],$B$5,Monatsexporte[Monat],6,Monatsexporte[Konto],B16)</f>
        <v>0</v>
      </c>
      <c r="Y16" s="22">
        <f t="shared" si="7"/>
        <v>0</v>
      </c>
      <c r="Z16" s="15">
        <f>SUMIFS(Monatsexporte[Saldo],Monatsexporte[Jahr],$B$4,Monatsexporte[Monat],7,Monatsexporte[Konto],B16)</f>
        <v>0</v>
      </c>
      <c r="AA16" s="15">
        <f>SUMIFS(Monatsexporte[Saldo],Monatsexporte[Jahr],$B$5,Monatsexporte[Monat],7,Monatsexporte[Konto],B16)</f>
        <v>0</v>
      </c>
      <c r="AB16" s="22">
        <f t="shared" si="8"/>
        <v>0</v>
      </c>
      <c r="AC16" s="15">
        <f>SUMIFS(Monatsexporte[Saldo],Monatsexporte[Jahr],$B$4,Monatsexporte[Monat],8,Monatsexporte[Konto],B16)</f>
        <v>0</v>
      </c>
      <c r="AD16" s="15">
        <f>SUMIFS(Monatsexporte[Saldo],Monatsexporte[Jahr],$B$5,Monatsexporte[Monat],8,Monatsexporte[Konto],B16)</f>
        <v>0</v>
      </c>
      <c r="AE16" s="22">
        <f t="shared" si="9"/>
        <v>0</v>
      </c>
      <c r="AF16" s="15">
        <f>SUMIFS(Monatsexporte[Saldo],Monatsexporte[Jahr],$B$4,Monatsexporte[Monat],9,Monatsexporte[Konto],B16)</f>
        <v>0</v>
      </c>
      <c r="AG16" s="15">
        <f>SUMIFS(Monatsexporte[Saldo],Monatsexporte[Jahr],$B$5,Monatsexporte[Monat],9,Monatsexporte[Konto],B16)</f>
        <v>0</v>
      </c>
      <c r="AH16" s="22">
        <f t="shared" si="10"/>
        <v>0</v>
      </c>
      <c r="AI16" s="15">
        <f>SUMIFS(Monatsexporte[Saldo],Monatsexporte[Jahr],$B$4,Monatsexporte[Monat],10,Monatsexporte[Konto],B16)</f>
        <v>0</v>
      </c>
      <c r="AJ16" s="15">
        <f>SUMIFS(Monatsexporte[Saldo],Monatsexporte[Jahr],$B$5,Monatsexporte[Monat],10,Monatsexporte[Konto],B16)</f>
        <v>0</v>
      </c>
      <c r="AK16" s="22">
        <f t="shared" si="11"/>
        <v>0</v>
      </c>
      <c r="AL16" s="15">
        <f>SUMIFS(Monatsexporte[Saldo],Monatsexporte[Jahr],$B$4,Monatsexporte[Monat],11,Monatsexporte[Konto],B16)</f>
        <v>0</v>
      </c>
      <c r="AM16" s="15">
        <f>SUMIFS(Monatsexporte[Saldo],Monatsexporte[Jahr],$B$5,Monatsexporte[Monat],11,Monatsexporte[Konto],B16)</f>
        <v>0</v>
      </c>
      <c r="AN16" s="22">
        <f t="shared" si="12"/>
        <v>0</v>
      </c>
      <c r="AO16" s="15">
        <f>SUMIFS(Monatsexporte[Saldo],Monatsexporte[Jahr],$B$4,Monatsexporte[Monat],12,Monatsexporte[Konto],B16)</f>
        <v>0</v>
      </c>
      <c r="AP16" s="15">
        <f>SUMIFS(Monatsexporte[Saldo],Monatsexporte[Jahr],$B$5,Monatsexporte[Monat],12,Monatsexporte[Konto],B16)</f>
        <v>0</v>
      </c>
      <c r="AQ16" s="22">
        <f t="shared" si="13"/>
        <v>0</v>
      </c>
    </row>
    <row r="17" spans="1:43" hidden="1" outlineLevel="1" x14ac:dyDescent="0.45">
      <c r="A17" s="10" t="s">
        <v>405</v>
      </c>
      <c r="B17" s="39">
        <v>600151052</v>
      </c>
      <c r="C17" s="15">
        <v>32914</v>
      </c>
      <c r="D17" s="15">
        <f ca="1">SUMIFS(Monatsexporte[Saldo],Monatsexporte[Jahr],$B$4,Monatsexporte[Monat],"&lt;="&amp;$B$8,Monatsexporte[Konto],B17)</f>
        <v>98741.43</v>
      </c>
      <c r="E17" s="15">
        <f ca="1">SUMIFS(Monatsexporte[Saldo],Monatsexporte[Jahr],$B$5,Monatsexporte[Monat],"&lt;="&amp;$B$8,Monatsexporte[Konto],B17)</f>
        <v>0</v>
      </c>
      <c r="F17" s="15">
        <f t="shared" ca="1" si="0"/>
        <v>98741.43</v>
      </c>
      <c r="G17" s="22">
        <f t="shared" ca="1" si="1"/>
        <v>0</v>
      </c>
      <c r="H17" s="15">
        <f>SUMIFS(Monatsexporte[Saldo],Monatsexporte[Jahr],$B$4,Monatsexporte[Monat],1,Monatsexporte[Konto],B17)</f>
        <v>0</v>
      </c>
      <c r="I17" s="15">
        <f>SUMIFS(Monatsexporte[Saldo],Monatsexporte[Jahr],$B$5,Monatsexporte[Monat],1,Monatsexporte[Konto],B17)</f>
        <v>0</v>
      </c>
      <c r="J17" s="22">
        <f t="shared" si="2"/>
        <v>0</v>
      </c>
      <c r="K17" s="15">
        <f>SUMIFS(Monatsexporte[Saldo],Monatsexporte[Jahr],$B$4,Monatsexporte[Monat],2,Monatsexporte[Konto],B17)</f>
        <v>0</v>
      </c>
      <c r="L17" s="15">
        <f>SUMIFS(Monatsexporte[Saldo],Monatsexporte[Jahr],$B$5,Monatsexporte[Monat],2,Monatsexporte[Konto],B17)</f>
        <v>0</v>
      </c>
      <c r="M17" s="22">
        <f t="shared" si="3"/>
        <v>0</v>
      </c>
      <c r="N17" s="15">
        <f>SUMIFS(Monatsexporte[Saldo],Monatsexporte[Jahr],$B$4,Monatsexporte[Monat],3,Monatsexporte[Konto],B17)</f>
        <v>32913.81</v>
      </c>
      <c r="O17" s="15">
        <f>SUMIFS(Monatsexporte[Saldo],Monatsexporte[Jahr],$B$5,Monatsexporte[Monat],3,Monatsexporte[Konto],B17)</f>
        <v>0</v>
      </c>
      <c r="P17" s="22">
        <f t="shared" si="4"/>
        <v>0</v>
      </c>
      <c r="Q17" s="15">
        <f>SUMIFS(Monatsexporte[Saldo],Monatsexporte[Jahr],$B$4,Monatsexporte[Monat],4,Monatsexporte[Konto],B17)</f>
        <v>32913.81</v>
      </c>
      <c r="R17" s="15">
        <f>SUMIFS(Monatsexporte[Saldo],Monatsexporte[Jahr],$B$5,Monatsexporte[Monat],4,Monatsexporte[Konto],B17)</f>
        <v>0</v>
      </c>
      <c r="S17" s="22">
        <f t="shared" si="5"/>
        <v>0</v>
      </c>
      <c r="T17" s="15">
        <f>SUMIFS(Monatsexporte[Saldo],Monatsexporte[Jahr],$B$4,Monatsexporte[Monat],5,Monatsexporte[Konto],B17)</f>
        <v>32913.81</v>
      </c>
      <c r="U17" s="15">
        <f>SUMIFS(Monatsexporte[Saldo],Monatsexporte[Jahr],$B$5,Monatsexporte[Monat],5,Monatsexporte[Konto],B17)</f>
        <v>0</v>
      </c>
      <c r="V17" s="22">
        <f t="shared" si="6"/>
        <v>0</v>
      </c>
      <c r="W17" s="15">
        <f>SUMIFS(Monatsexporte[Saldo],Monatsexporte[Jahr],$B$4,Monatsexporte[Monat],6,Monatsexporte[Konto],B17)</f>
        <v>0</v>
      </c>
      <c r="X17" s="15">
        <f>SUMIFS(Monatsexporte[Saldo],Monatsexporte[Jahr],$B$5,Monatsexporte[Monat],6,Monatsexporte[Konto],B17)</f>
        <v>0</v>
      </c>
      <c r="Y17" s="22">
        <f t="shared" si="7"/>
        <v>0</v>
      </c>
      <c r="Z17" s="15">
        <f>SUMIFS(Monatsexporte[Saldo],Monatsexporte[Jahr],$B$4,Monatsexporte[Monat],7,Monatsexporte[Konto],B17)</f>
        <v>0</v>
      </c>
      <c r="AA17" s="15">
        <f>SUMIFS(Monatsexporte[Saldo],Monatsexporte[Jahr],$B$5,Monatsexporte[Monat],7,Monatsexporte[Konto],B17)</f>
        <v>0</v>
      </c>
      <c r="AB17" s="22">
        <f t="shared" si="8"/>
        <v>0</v>
      </c>
      <c r="AC17" s="15">
        <f>SUMIFS(Monatsexporte[Saldo],Monatsexporte[Jahr],$B$4,Monatsexporte[Monat],8,Monatsexporte[Konto],B17)</f>
        <v>0</v>
      </c>
      <c r="AD17" s="15">
        <f>SUMIFS(Monatsexporte[Saldo],Monatsexporte[Jahr],$B$5,Monatsexporte[Monat],8,Monatsexporte[Konto],B17)</f>
        <v>0</v>
      </c>
      <c r="AE17" s="22">
        <f t="shared" si="9"/>
        <v>0</v>
      </c>
      <c r="AF17" s="15">
        <f>SUMIFS(Monatsexporte[Saldo],Monatsexporte[Jahr],$B$4,Monatsexporte[Monat],9,Monatsexporte[Konto],B17)</f>
        <v>0</v>
      </c>
      <c r="AG17" s="15">
        <f>SUMIFS(Monatsexporte[Saldo],Monatsexporte[Jahr],$B$5,Monatsexporte[Monat],9,Monatsexporte[Konto],B17)</f>
        <v>0</v>
      </c>
      <c r="AH17" s="22">
        <f t="shared" si="10"/>
        <v>0</v>
      </c>
      <c r="AI17" s="15">
        <f>SUMIFS(Monatsexporte[Saldo],Monatsexporte[Jahr],$B$4,Monatsexporte[Monat],10,Monatsexporte[Konto],B17)</f>
        <v>0</v>
      </c>
      <c r="AJ17" s="15">
        <f>SUMIFS(Monatsexporte[Saldo],Monatsexporte[Jahr],$B$5,Monatsexporte[Monat],10,Monatsexporte[Konto],B17)</f>
        <v>0</v>
      </c>
      <c r="AK17" s="22">
        <f t="shared" si="11"/>
        <v>0</v>
      </c>
      <c r="AL17" s="15">
        <f>SUMIFS(Monatsexporte[Saldo],Monatsexporte[Jahr],$B$4,Monatsexporte[Monat],11,Monatsexporte[Konto],B17)</f>
        <v>0</v>
      </c>
      <c r="AM17" s="15">
        <f>SUMIFS(Monatsexporte[Saldo],Monatsexporte[Jahr],$B$5,Monatsexporte[Monat],11,Monatsexporte[Konto],B17)</f>
        <v>0</v>
      </c>
      <c r="AN17" s="22">
        <f t="shared" si="12"/>
        <v>0</v>
      </c>
      <c r="AO17" s="15">
        <f>SUMIFS(Monatsexporte[Saldo],Monatsexporte[Jahr],$B$4,Monatsexporte[Monat],12,Monatsexporte[Konto],B17)</f>
        <v>0</v>
      </c>
      <c r="AP17" s="15">
        <f>SUMIFS(Monatsexporte[Saldo],Monatsexporte[Jahr],$B$5,Monatsexporte[Monat],12,Monatsexporte[Konto],B17)</f>
        <v>0</v>
      </c>
      <c r="AQ17" s="22">
        <f t="shared" si="13"/>
        <v>0</v>
      </c>
    </row>
    <row r="18" spans="1:43" hidden="1" outlineLevel="1" x14ac:dyDescent="0.45">
      <c r="A18" s="10" t="s">
        <v>406</v>
      </c>
      <c r="B18" s="39">
        <v>600151053</v>
      </c>
      <c r="C18" s="15">
        <v>64998</v>
      </c>
      <c r="D18" s="15">
        <f ca="1">SUMIFS(Monatsexporte[Saldo],Monatsexporte[Jahr],$B$4,Monatsexporte[Monat],"&lt;="&amp;$B$8,Monatsexporte[Konto],B18)</f>
        <v>194995.08000000002</v>
      </c>
      <c r="E18" s="15">
        <f ca="1">SUMIFS(Monatsexporte[Saldo],Monatsexporte[Jahr],$B$5,Monatsexporte[Monat],"&lt;="&amp;$B$8,Monatsexporte[Konto],B18)</f>
        <v>0</v>
      </c>
      <c r="F18" s="15">
        <f t="shared" ca="1" si="0"/>
        <v>194995.08000000002</v>
      </c>
      <c r="G18" s="22">
        <f t="shared" ca="1" si="1"/>
        <v>0</v>
      </c>
      <c r="H18" s="15">
        <f>SUMIFS(Monatsexporte[Saldo],Monatsexporte[Jahr],$B$4,Monatsexporte[Monat],1,Monatsexporte[Konto],B18)</f>
        <v>0</v>
      </c>
      <c r="I18" s="15">
        <f>SUMIFS(Monatsexporte[Saldo],Monatsexporte[Jahr],$B$5,Monatsexporte[Monat],1,Monatsexporte[Konto],B18)</f>
        <v>0</v>
      </c>
      <c r="J18" s="22">
        <f t="shared" si="2"/>
        <v>0</v>
      </c>
      <c r="K18" s="15">
        <f>SUMIFS(Monatsexporte[Saldo],Monatsexporte[Jahr],$B$4,Monatsexporte[Monat],2,Monatsexporte[Konto],B18)</f>
        <v>0</v>
      </c>
      <c r="L18" s="15">
        <f>SUMIFS(Monatsexporte[Saldo],Monatsexporte[Jahr],$B$5,Monatsexporte[Monat],2,Monatsexporte[Konto],B18)</f>
        <v>0</v>
      </c>
      <c r="M18" s="22">
        <f t="shared" si="3"/>
        <v>0</v>
      </c>
      <c r="N18" s="15">
        <f>SUMIFS(Monatsexporte[Saldo],Monatsexporte[Jahr],$B$4,Monatsexporte[Monat],3,Monatsexporte[Konto],B18)</f>
        <v>64998.36</v>
      </c>
      <c r="O18" s="15">
        <f>SUMIFS(Monatsexporte[Saldo],Monatsexporte[Jahr],$B$5,Monatsexporte[Monat],3,Monatsexporte[Konto],B18)</f>
        <v>0</v>
      </c>
      <c r="P18" s="22">
        <f t="shared" si="4"/>
        <v>0</v>
      </c>
      <c r="Q18" s="15">
        <f>SUMIFS(Monatsexporte[Saldo],Monatsexporte[Jahr],$B$4,Monatsexporte[Monat],4,Monatsexporte[Konto],B18)</f>
        <v>64998.36</v>
      </c>
      <c r="R18" s="15">
        <f>SUMIFS(Monatsexporte[Saldo],Monatsexporte[Jahr],$B$5,Monatsexporte[Monat],4,Monatsexporte[Konto],B18)</f>
        <v>0</v>
      </c>
      <c r="S18" s="22">
        <f t="shared" si="5"/>
        <v>0</v>
      </c>
      <c r="T18" s="15">
        <f>SUMIFS(Monatsexporte[Saldo],Monatsexporte[Jahr],$B$4,Monatsexporte[Monat],5,Monatsexporte[Konto],B18)</f>
        <v>64998.36</v>
      </c>
      <c r="U18" s="15">
        <f>SUMIFS(Monatsexporte[Saldo],Monatsexporte[Jahr],$B$5,Monatsexporte[Monat],5,Monatsexporte[Konto],B18)</f>
        <v>0</v>
      </c>
      <c r="V18" s="22">
        <f t="shared" si="6"/>
        <v>0</v>
      </c>
      <c r="W18" s="15">
        <f>SUMIFS(Monatsexporte[Saldo],Monatsexporte[Jahr],$B$4,Monatsexporte[Monat],6,Monatsexporte[Konto],B18)</f>
        <v>0</v>
      </c>
      <c r="X18" s="15">
        <f>SUMIFS(Monatsexporte[Saldo],Monatsexporte[Jahr],$B$5,Monatsexporte[Monat],6,Monatsexporte[Konto],B18)</f>
        <v>0</v>
      </c>
      <c r="Y18" s="22">
        <f t="shared" si="7"/>
        <v>0</v>
      </c>
      <c r="Z18" s="15">
        <f>SUMIFS(Monatsexporte[Saldo],Monatsexporte[Jahr],$B$4,Monatsexporte[Monat],7,Monatsexporte[Konto],B18)</f>
        <v>0</v>
      </c>
      <c r="AA18" s="15">
        <f>SUMIFS(Monatsexporte[Saldo],Monatsexporte[Jahr],$B$5,Monatsexporte[Monat],7,Monatsexporte[Konto],B18)</f>
        <v>0</v>
      </c>
      <c r="AB18" s="22">
        <f t="shared" si="8"/>
        <v>0</v>
      </c>
      <c r="AC18" s="15">
        <f>SUMIFS(Monatsexporte[Saldo],Monatsexporte[Jahr],$B$4,Monatsexporte[Monat],8,Monatsexporte[Konto],B18)</f>
        <v>0</v>
      </c>
      <c r="AD18" s="15">
        <f>SUMIFS(Monatsexporte[Saldo],Monatsexporte[Jahr],$B$5,Monatsexporte[Monat],8,Monatsexporte[Konto],B18)</f>
        <v>0</v>
      </c>
      <c r="AE18" s="22">
        <f t="shared" si="9"/>
        <v>0</v>
      </c>
      <c r="AF18" s="15">
        <f>SUMIFS(Monatsexporte[Saldo],Monatsexporte[Jahr],$B$4,Monatsexporte[Monat],9,Monatsexporte[Konto],B18)</f>
        <v>0</v>
      </c>
      <c r="AG18" s="15">
        <f>SUMIFS(Monatsexporte[Saldo],Monatsexporte[Jahr],$B$5,Monatsexporte[Monat],9,Monatsexporte[Konto],B18)</f>
        <v>0</v>
      </c>
      <c r="AH18" s="22">
        <f t="shared" si="10"/>
        <v>0</v>
      </c>
      <c r="AI18" s="15">
        <f>SUMIFS(Monatsexporte[Saldo],Monatsexporte[Jahr],$B$4,Monatsexporte[Monat],10,Monatsexporte[Konto],B18)</f>
        <v>0</v>
      </c>
      <c r="AJ18" s="15">
        <f>SUMIFS(Monatsexporte[Saldo],Monatsexporte[Jahr],$B$5,Monatsexporte[Monat],10,Monatsexporte[Konto],B18)</f>
        <v>0</v>
      </c>
      <c r="AK18" s="22">
        <f t="shared" si="11"/>
        <v>0</v>
      </c>
      <c r="AL18" s="15">
        <f>SUMIFS(Monatsexporte[Saldo],Monatsexporte[Jahr],$B$4,Monatsexporte[Monat],11,Monatsexporte[Konto],B18)</f>
        <v>0</v>
      </c>
      <c r="AM18" s="15">
        <f>SUMIFS(Monatsexporte[Saldo],Monatsexporte[Jahr],$B$5,Monatsexporte[Monat],11,Monatsexporte[Konto],B18)</f>
        <v>0</v>
      </c>
      <c r="AN18" s="22">
        <f t="shared" si="12"/>
        <v>0</v>
      </c>
      <c r="AO18" s="15">
        <f>SUMIFS(Monatsexporte[Saldo],Monatsexporte[Jahr],$B$4,Monatsexporte[Monat],12,Monatsexporte[Konto],B18)</f>
        <v>0</v>
      </c>
      <c r="AP18" s="15">
        <f>SUMIFS(Monatsexporte[Saldo],Monatsexporte[Jahr],$B$5,Monatsexporte[Monat],12,Monatsexporte[Konto],B18)</f>
        <v>0</v>
      </c>
      <c r="AQ18" s="22">
        <f t="shared" si="13"/>
        <v>0</v>
      </c>
    </row>
    <row r="19" spans="1:43" hidden="1" outlineLevel="1" x14ac:dyDescent="0.45">
      <c r="A19" s="10" t="s">
        <v>407</v>
      </c>
      <c r="B19" s="39">
        <v>600151055</v>
      </c>
      <c r="C19" s="15">
        <v>1327</v>
      </c>
      <c r="D19" s="15">
        <f ca="1">SUMIFS(Monatsexporte[Saldo],Monatsexporte[Jahr],$B$4,Monatsexporte[Monat],"&lt;="&amp;$B$8,Monatsexporte[Konto],B19)</f>
        <v>3981</v>
      </c>
      <c r="E19" s="15">
        <f ca="1">SUMIFS(Monatsexporte[Saldo],Monatsexporte[Jahr],$B$5,Monatsexporte[Monat],"&lt;="&amp;$B$8,Monatsexporte[Konto],B19)</f>
        <v>0</v>
      </c>
      <c r="F19" s="15">
        <f t="shared" ca="1" si="0"/>
        <v>3981</v>
      </c>
      <c r="G19" s="22">
        <f t="shared" ca="1" si="1"/>
        <v>0</v>
      </c>
      <c r="H19" s="15">
        <f>SUMIFS(Monatsexporte[Saldo],Monatsexporte[Jahr],$B$4,Monatsexporte[Monat],1,Monatsexporte[Konto],B19)</f>
        <v>0</v>
      </c>
      <c r="I19" s="15">
        <f>SUMIFS(Monatsexporte[Saldo],Monatsexporte[Jahr],$B$5,Monatsexporte[Monat],1,Monatsexporte[Konto],B19)</f>
        <v>0</v>
      </c>
      <c r="J19" s="22">
        <f t="shared" si="2"/>
        <v>0</v>
      </c>
      <c r="K19" s="15">
        <f>SUMIFS(Monatsexporte[Saldo],Monatsexporte[Jahr],$B$4,Monatsexporte[Monat],2,Monatsexporte[Konto],B19)</f>
        <v>0</v>
      </c>
      <c r="L19" s="15">
        <f>SUMIFS(Monatsexporte[Saldo],Monatsexporte[Jahr],$B$5,Monatsexporte[Monat],2,Monatsexporte[Konto],B19)</f>
        <v>0</v>
      </c>
      <c r="M19" s="22">
        <f t="shared" si="3"/>
        <v>0</v>
      </c>
      <c r="N19" s="15">
        <f>SUMIFS(Monatsexporte[Saldo],Monatsexporte[Jahr],$B$4,Monatsexporte[Monat],3,Monatsexporte[Konto],B19)</f>
        <v>1327</v>
      </c>
      <c r="O19" s="15">
        <f>SUMIFS(Monatsexporte[Saldo],Monatsexporte[Jahr],$B$5,Monatsexporte[Monat],3,Monatsexporte[Konto],B19)</f>
        <v>0</v>
      </c>
      <c r="P19" s="22">
        <f t="shared" si="4"/>
        <v>0</v>
      </c>
      <c r="Q19" s="15">
        <f>SUMIFS(Monatsexporte[Saldo],Monatsexporte[Jahr],$B$4,Monatsexporte[Monat],4,Monatsexporte[Konto],B19)</f>
        <v>1327</v>
      </c>
      <c r="R19" s="15">
        <f>SUMIFS(Monatsexporte[Saldo],Monatsexporte[Jahr],$B$5,Monatsexporte[Monat],4,Monatsexporte[Konto],B19)</f>
        <v>0</v>
      </c>
      <c r="S19" s="22">
        <f t="shared" si="5"/>
        <v>0</v>
      </c>
      <c r="T19" s="15">
        <f>SUMIFS(Monatsexporte[Saldo],Monatsexporte[Jahr],$B$4,Monatsexporte[Monat],5,Monatsexporte[Konto],B19)</f>
        <v>1327</v>
      </c>
      <c r="U19" s="15">
        <f>SUMIFS(Monatsexporte[Saldo],Monatsexporte[Jahr],$B$5,Monatsexporte[Monat],5,Monatsexporte[Konto],B19)</f>
        <v>0</v>
      </c>
      <c r="V19" s="22">
        <f t="shared" si="6"/>
        <v>0</v>
      </c>
      <c r="W19" s="15">
        <f>SUMIFS(Monatsexporte[Saldo],Monatsexporte[Jahr],$B$4,Monatsexporte[Monat],6,Monatsexporte[Konto],B19)</f>
        <v>0</v>
      </c>
      <c r="X19" s="15">
        <f>SUMIFS(Monatsexporte[Saldo],Monatsexporte[Jahr],$B$5,Monatsexporte[Monat],6,Monatsexporte[Konto],B19)</f>
        <v>0</v>
      </c>
      <c r="Y19" s="22">
        <f t="shared" si="7"/>
        <v>0</v>
      </c>
      <c r="Z19" s="15">
        <f>SUMIFS(Monatsexporte[Saldo],Monatsexporte[Jahr],$B$4,Monatsexporte[Monat],7,Monatsexporte[Konto],B19)</f>
        <v>0</v>
      </c>
      <c r="AA19" s="15">
        <f>SUMIFS(Monatsexporte[Saldo],Monatsexporte[Jahr],$B$5,Monatsexporte[Monat],7,Monatsexporte[Konto],B19)</f>
        <v>0</v>
      </c>
      <c r="AB19" s="22">
        <f t="shared" si="8"/>
        <v>0</v>
      </c>
      <c r="AC19" s="15">
        <f>SUMIFS(Monatsexporte[Saldo],Monatsexporte[Jahr],$B$4,Monatsexporte[Monat],8,Monatsexporte[Konto],B19)</f>
        <v>0</v>
      </c>
      <c r="AD19" s="15">
        <f>SUMIFS(Monatsexporte[Saldo],Monatsexporte[Jahr],$B$5,Monatsexporte[Monat],8,Monatsexporte[Konto],B19)</f>
        <v>0</v>
      </c>
      <c r="AE19" s="22">
        <f t="shared" si="9"/>
        <v>0</v>
      </c>
      <c r="AF19" s="15">
        <f>SUMIFS(Monatsexporte[Saldo],Monatsexporte[Jahr],$B$4,Monatsexporte[Monat],9,Monatsexporte[Konto],B19)</f>
        <v>0</v>
      </c>
      <c r="AG19" s="15">
        <f>SUMIFS(Monatsexporte[Saldo],Monatsexporte[Jahr],$B$5,Monatsexporte[Monat],9,Monatsexporte[Konto],B19)</f>
        <v>0</v>
      </c>
      <c r="AH19" s="22">
        <f t="shared" si="10"/>
        <v>0</v>
      </c>
      <c r="AI19" s="15">
        <f>SUMIFS(Monatsexporte[Saldo],Monatsexporte[Jahr],$B$4,Monatsexporte[Monat],10,Monatsexporte[Konto],B19)</f>
        <v>0</v>
      </c>
      <c r="AJ19" s="15">
        <f>SUMIFS(Monatsexporte[Saldo],Monatsexporte[Jahr],$B$5,Monatsexporte[Monat],10,Monatsexporte[Konto],B19)</f>
        <v>0</v>
      </c>
      <c r="AK19" s="22">
        <f t="shared" si="11"/>
        <v>0</v>
      </c>
      <c r="AL19" s="15">
        <f>SUMIFS(Monatsexporte[Saldo],Monatsexporte[Jahr],$B$4,Monatsexporte[Monat],11,Monatsexporte[Konto],B19)</f>
        <v>0</v>
      </c>
      <c r="AM19" s="15">
        <f>SUMIFS(Monatsexporte[Saldo],Monatsexporte[Jahr],$B$5,Monatsexporte[Monat],11,Monatsexporte[Konto],B19)</f>
        <v>0</v>
      </c>
      <c r="AN19" s="22">
        <f t="shared" si="12"/>
        <v>0</v>
      </c>
      <c r="AO19" s="15">
        <f>SUMIFS(Monatsexporte[Saldo],Monatsexporte[Jahr],$B$4,Monatsexporte[Monat],12,Monatsexporte[Konto],B19)</f>
        <v>0</v>
      </c>
      <c r="AP19" s="15">
        <f>SUMIFS(Monatsexporte[Saldo],Monatsexporte[Jahr],$B$5,Monatsexporte[Monat],12,Monatsexporte[Konto],B19)</f>
        <v>0</v>
      </c>
      <c r="AQ19" s="22">
        <f t="shared" si="13"/>
        <v>0</v>
      </c>
    </row>
    <row r="20" spans="1:43" hidden="1" outlineLevel="1" x14ac:dyDescent="0.45">
      <c r="A20" s="10" t="s">
        <v>408</v>
      </c>
      <c r="B20" s="39">
        <v>600151060</v>
      </c>
      <c r="C20" s="15">
        <v>31598</v>
      </c>
      <c r="D20" s="15">
        <f ca="1">SUMIFS(Monatsexporte[Saldo],Monatsexporte[Jahr],$B$4,Monatsexporte[Monat],"&lt;="&amp;$B$8,Monatsexporte[Konto],B20)</f>
        <v>94792.74</v>
      </c>
      <c r="E20" s="15">
        <f ca="1">SUMIFS(Monatsexporte[Saldo],Monatsexporte[Jahr],$B$5,Monatsexporte[Monat],"&lt;="&amp;$B$8,Monatsexporte[Konto],B20)</f>
        <v>0</v>
      </c>
      <c r="F20" s="15">
        <f t="shared" ca="1" si="0"/>
        <v>94792.74</v>
      </c>
      <c r="G20" s="22">
        <f t="shared" ca="1" si="1"/>
        <v>0</v>
      </c>
      <c r="H20" s="15">
        <f>SUMIFS(Monatsexporte[Saldo],Monatsexporte[Jahr],$B$4,Monatsexporte[Monat],1,Monatsexporte[Konto],B20)</f>
        <v>0</v>
      </c>
      <c r="I20" s="15">
        <f>SUMIFS(Monatsexporte[Saldo],Monatsexporte[Jahr],$B$5,Monatsexporte[Monat],1,Monatsexporte[Konto],B20)</f>
        <v>0</v>
      </c>
      <c r="J20" s="22">
        <f t="shared" si="2"/>
        <v>0</v>
      </c>
      <c r="K20" s="15">
        <f>SUMIFS(Monatsexporte[Saldo],Monatsexporte[Jahr],$B$4,Monatsexporte[Monat],2,Monatsexporte[Konto],B20)</f>
        <v>0</v>
      </c>
      <c r="L20" s="15">
        <f>SUMIFS(Monatsexporte[Saldo],Monatsexporte[Jahr],$B$5,Monatsexporte[Monat],2,Monatsexporte[Konto],B20)</f>
        <v>0</v>
      </c>
      <c r="M20" s="22">
        <f t="shared" si="3"/>
        <v>0</v>
      </c>
      <c r="N20" s="15">
        <f>SUMIFS(Monatsexporte[Saldo],Monatsexporte[Jahr],$B$4,Monatsexporte[Monat],3,Monatsexporte[Konto],B20)</f>
        <v>31597.58</v>
      </c>
      <c r="O20" s="15">
        <f>SUMIFS(Monatsexporte[Saldo],Monatsexporte[Jahr],$B$5,Monatsexporte[Monat],3,Monatsexporte[Konto],B20)</f>
        <v>0</v>
      </c>
      <c r="P20" s="22">
        <f t="shared" si="4"/>
        <v>0</v>
      </c>
      <c r="Q20" s="15">
        <f>SUMIFS(Monatsexporte[Saldo],Monatsexporte[Jahr],$B$4,Monatsexporte[Monat],4,Monatsexporte[Konto],B20)</f>
        <v>31597.58</v>
      </c>
      <c r="R20" s="15">
        <f>SUMIFS(Monatsexporte[Saldo],Monatsexporte[Jahr],$B$5,Monatsexporte[Monat],4,Monatsexporte[Konto],B20)</f>
        <v>0</v>
      </c>
      <c r="S20" s="22">
        <f t="shared" si="5"/>
        <v>0</v>
      </c>
      <c r="T20" s="15">
        <f>SUMIFS(Monatsexporte[Saldo],Monatsexporte[Jahr],$B$4,Monatsexporte[Monat],5,Monatsexporte[Konto],B20)</f>
        <v>31597.58</v>
      </c>
      <c r="U20" s="15">
        <f>SUMIFS(Monatsexporte[Saldo],Monatsexporte[Jahr],$B$5,Monatsexporte[Monat],5,Monatsexporte[Konto],B20)</f>
        <v>0</v>
      </c>
      <c r="V20" s="22">
        <f t="shared" si="6"/>
        <v>0</v>
      </c>
      <c r="W20" s="15">
        <f>SUMIFS(Monatsexporte[Saldo],Monatsexporte[Jahr],$B$4,Monatsexporte[Monat],6,Monatsexporte[Konto],B20)</f>
        <v>0</v>
      </c>
      <c r="X20" s="15">
        <f>SUMIFS(Monatsexporte[Saldo],Monatsexporte[Jahr],$B$5,Monatsexporte[Monat],6,Monatsexporte[Konto],B20)</f>
        <v>0</v>
      </c>
      <c r="Y20" s="22">
        <f t="shared" si="7"/>
        <v>0</v>
      </c>
      <c r="Z20" s="15">
        <f>SUMIFS(Monatsexporte[Saldo],Monatsexporte[Jahr],$B$4,Monatsexporte[Monat],7,Monatsexporte[Konto],B20)</f>
        <v>0</v>
      </c>
      <c r="AA20" s="15">
        <f>SUMIFS(Monatsexporte[Saldo],Monatsexporte[Jahr],$B$5,Monatsexporte[Monat],7,Monatsexporte[Konto],B20)</f>
        <v>0</v>
      </c>
      <c r="AB20" s="22">
        <f t="shared" si="8"/>
        <v>0</v>
      </c>
      <c r="AC20" s="15">
        <f>SUMIFS(Monatsexporte[Saldo],Monatsexporte[Jahr],$B$4,Monatsexporte[Monat],8,Monatsexporte[Konto],B20)</f>
        <v>0</v>
      </c>
      <c r="AD20" s="15">
        <f>SUMIFS(Monatsexporte[Saldo],Monatsexporte[Jahr],$B$5,Monatsexporte[Monat],8,Monatsexporte[Konto],B20)</f>
        <v>0</v>
      </c>
      <c r="AE20" s="22">
        <f t="shared" si="9"/>
        <v>0</v>
      </c>
      <c r="AF20" s="15">
        <f>SUMIFS(Monatsexporte[Saldo],Monatsexporte[Jahr],$B$4,Monatsexporte[Monat],9,Monatsexporte[Konto],B20)</f>
        <v>0</v>
      </c>
      <c r="AG20" s="15">
        <f>SUMIFS(Monatsexporte[Saldo],Monatsexporte[Jahr],$B$5,Monatsexporte[Monat],9,Monatsexporte[Konto],B20)</f>
        <v>0</v>
      </c>
      <c r="AH20" s="22">
        <f t="shared" si="10"/>
        <v>0</v>
      </c>
      <c r="AI20" s="15">
        <f>SUMIFS(Monatsexporte[Saldo],Monatsexporte[Jahr],$B$4,Monatsexporte[Monat],10,Monatsexporte[Konto],B20)</f>
        <v>0</v>
      </c>
      <c r="AJ20" s="15">
        <f>SUMIFS(Monatsexporte[Saldo],Monatsexporte[Jahr],$B$5,Monatsexporte[Monat],10,Monatsexporte[Konto],B20)</f>
        <v>0</v>
      </c>
      <c r="AK20" s="22">
        <f t="shared" si="11"/>
        <v>0</v>
      </c>
      <c r="AL20" s="15">
        <f>SUMIFS(Monatsexporte[Saldo],Monatsexporte[Jahr],$B$4,Monatsexporte[Monat],11,Monatsexporte[Konto],B20)</f>
        <v>0</v>
      </c>
      <c r="AM20" s="15">
        <f>SUMIFS(Monatsexporte[Saldo],Monatsexporte[Jahr],$B$5,Monatsexporte[Monat],11,Monatsexporte[Konto],B20)</f>
        <v>0</v>
      </c>
      <c r="AN20" s="22">
        <f t="shared" si="12"/>
        <v>0</v>
      </c>
      <c r="AO20" s="15">
        <f>SUMIFS(Monatsexporte[Saldo],Monatsexporte[Jahr],$B$4,Monatsexporte[Monat],12,Monatsexporte[Konto],B20)</f>
        <v>0</v>
      </c>
      <c r="AP20" s="15">
        <f>SUMIFS(Monatsexporte[Saldo],Monatsexporte[Jahr],$B$5,Monatsexporte[Monat],12,Monatsexporte[Konto],B20)</f>
        <v>0</v>
      </c>
      <c r="AQ20" s="22">
        <f t="shared" si="13"/>
        <v>0</v>
      </c>
    </row>
    <row r="21" spans="1:43" hidden="1" outlineLevel="1" x14ac:dyDescent="0.45">
      <c r="A21" s="10" t="s">
        <v>409</v>
      </c>
      <c r="B21" s="39">
        <v>600151061</v>
      </c>
      <c r="C21" s="15">
        <v>10229</v>
      </c>
      <c r="D21" s="15">
        <f ca="1">SUMIFS(Monatsexporte[Saldo],Monatsexporte[Jahr],$B$4,Monatsexporte[Monat],"&lt;="&amp;$B$8,Monatsexporte[Konto],B21)</f>
        <v>30687</v>
      </c>
      <c r="E21" s="15">
        <f ca="1">SUMIFS(Monatsexporte[Saldo],Monatsexporte[Jahr],$B$5,Monatsexporte[Monat],"&lt;="&amp;$B$8,Monatsexporte[Konto],B21)</f>
        <v>0</v>
      </c>
      <c r="F21" s="15">
        <f t="shared" ca="1" si="0"/>
        <v>30687</v>
      </c>
      <c r="G21" s="22">
        <f t="shared" ca="1" si="1"/>
        <v>0</v>
      </c>
      <c r="H21" s="15">
        <f>SUMIFS(Monatsexporte[Saldo],Monatsexporte[Jahr],$B$4,Monatsexporte[Monat],1,Monatsexporte[Konto],B21)</f>
        <v>0</v>
      </c>
      <c r="I21" s="15">
        <f>SUMIFS(Monatsexporte[Saldo],Monatsexporte[Jahr],$B$5,Monatsexporte[Monat],1,Monatsexporte[Konto],B21)</f>
        <v>0</v>
      </c>
      <c r="J21" s="22">
        <f t="shared" si="2"/>
        <v>0</v>
      </c>
      <c r="K21" s="15">
        <f>SUMIFS(Monatsexporte[Saldo],Monatsexporte[Jahr],$B$4,Monatsexporte[Monat],2,Monatsexporte[Konto],B21)</f>
        <v>0</v>
      </c>
      <c r="L21" s="15">
        <f>SUMIFS(Monatsexporte[Saldo],Monatsexporte[Jahr],$B$5,Monatsexporte[Monat],2,Monatsexporte[Konto],B21)</f>
        <v>0</v>
      </c>
      <c r="M21" s="22">
        <f t="shared" si="3"/>
        <v>0</v>
      </c>
      <c r="N21" s="15">
        <f>SUMIFS(Monatsexporte[Saldo],Monatsexporte[Jahr],$B$4,Monatsexporte[Monat],3,Monatsexporte[Konto],B21)</f>
        <v>10229</v>
      </c>
      <c r="O21" s="15">
        <f>SUMIFS(Monatsexporte[Saldo],Monatsexporte[Jahr],$B$5,Monatsexporte[Monat],3,Monatsexporte[Konto],B21)</f>
        <v>0</v>
      </c>
      <c r="P21" s="22">
        <f t="shared" si="4"/>
        <v>0</v>
      </c>
      <c r="Q21" s="15">
        <f>SUMIFS(Monatsexporte[Saldo],Monatsexporte[Jahr],$B$4,Monatsexporte[Monat],4,Monatsexporte[Konto],B21)</f>
        <v>10229</v>
      </c>
      <c r="R21" s="15">
        <f>SUMIFS(Monatsexporte[Saldo],Monatsexporte[Jahr],$B$5,Monatsexporte[Monat],4,Monatsexporte[Konto],B21)</f>
        <v>0</v>
      </c>
      <c r="S21" s="22">
        <f t="shared" si="5"/>
        <v>0</v>
      </c>
      <c r="T21" s="15">
        <f>SUMIFS(Monatsexporte[Saldo],Monatsexporte[Jahr],$B$4,Monatsexporte[Monat],5,Monatsexporte[Konto],B21)</f>
        <v>10229</v>
      </c>
      <c r="U21" s="15">
        <f>SUMIFS(Monatsexporte[Saldo],Monatsexporte[Jahr],$B$5,Monatsexporte[Monat],5,Monatsexporte[Konto],B21)</f>
        <v>0</v>
      </c>
      <c r="V21" s="22">
        <f t="shared" si="6"/>
        <v>0</v>
      </c>
      <c r="W21" s="15">
        <f>SUMIFS(Monatsexporte[Saldo],Monatsexporte[Jahr],$B$4,Monatsexporte[Monat],6,Monatsexporte[Konto],B21)</f>
        <v>0</v>
      </c>
      <c r="X21" s="15">
        <f>SUMIFS(Monatsexporte[Saldo],Monatsexporte[Jahr],$B$5,Monatsexporte[Monat],6,Monatsexporte[Konto],B21)</f>
        <v>0</v>
      </c>
      <c r="Y21" s="22">
        <f t="shared" si="7"/>
        <v>0</v>
      </c>
      <c r="Z21" s="15">
        <f>SUMIFS(Monatsexporte[Saldo],Monatsexporte[Jahr],$B$4,Monatsexporte[Monat],7,Monatsexporte[Konto],B21)</f>
        <v>0</v>
      </c>
      <c r="AA21" s="15">
        <f>SUMIFS(Monatsexporte[Saldo],Monatsexporte[Jahr],$B$5,Monatsexporte[Monat],7,Monatsexporte[Konto],B21)</f>
        <v>0</v>
      </c>
      <c r="AB21" s="22">
        <f t="shared" si="8"/>
        <v>0</v>
      </c>
      <c r="AC21" s="15">
        <f>SUMIFS(Monatsexporte[Saldo],Monatsexporte[Jahr],$B$4,Monatsexporte[Monat],8,Monatsexporte[Konto],B21)</f>
        <v>0</v>
      </c>
      <c r="AD21" s="15">
        <f>SUMIFS(Monatsexporte[Saldo],Monatsexporte[Jahr],$B$5,Monatsexporte[Monat],8,Monatsexporte[Konto],B21)</f>
        <v>0</v>
      </c>
      <c r="AE21" s="22">
        <f t="shared" si="9"/>
        <v>0</v>
      </c>
      <c r="AF21" s="15">
        <f>SUMIFS(Monatsexporte[Saldo],Monatsexporte[Jahr],$B$4,Monatsexporte[Monat],9,Monatsexporte[Konto],B21)</f>
        <v>0</v>
      </c>
      <c r="AG21" s="15">
        <f>SUMIFS(Monatsexporte[Saldo],Monatsexporte[Jahr],$B$5,Monatsexporte[Monat],9,Monatsexporte[Konto],B21)</f>
        <v>0</v>
      </c>
      <c r="AH21" s="22">
        <f t="shared" si="10"/>
        <v>0</v>
      </c>
      <c r="AI21" s="15">
        <f>SUMIFS(Monatsexporte[Saldo],Monatsexporte[Jahr],$B$4,Monatsexporte[Monat],10,Monatsexporte[Konto],B21)</f>
        <v>0</v>
      </c>
      <c r="AJ21" s="15">
        <f>SUMIFS(Monatsexporte[Saldo],Monatsexporte[Jahr],$B$5,Monatsexporte[Monat],10,Monatsexporte[Konto],B21)</f>
        <v>0</v>
      </c>
      <c r="AK21" s="22">
        <f t="shared" si="11"/>
        <v>0</v>
      </c>
      <c r="AL21" s="15">
        <f>SUMIFS(Monatsexporte[Saldo],Monatsexporte[Jahr],$B$4,Monatsexporte[Monat],11,Monatsexporte[Konto],B21)</f>
        <v>0</v>
      </c>
      <c r="AM21" s="15">
        <f>SUMIFS(Monatsexporte[Saldo],Monatsexporte[Jahr],$B$5,Monatsexporte[Monat],11,Monatsexporte[Konto],B21)</f>
        <v>0</v>
      </c>
      <c r="AN21" s="22">
        <f t="shared" si="12"/>
        <v>0</v>
      </c>
      <c r="AO21" s="15">
        <f>SUMIFS(Monatsexporte[Saldo],Monatsexporte[Jahr],$B$4,Monatsexporte[Monat],12,Monatsexporte[Konto],B21)</f>
        <v>0</v>
      </c>
      <c r="AP21" s="15">
        <f>SUMIFS(Monatsexporte[Saldo],Monatsexporte[Jahr],$B$5,Monatsexporte[Monat],12,Monatsexporte[Konto],B21)</f>
        <v>0</v>
      </c>
      <c r="AQ21" s="22">
        <f t="shared" si="13"/>
        <v>0</v>
      </c>
    </row>
    <row r="22" spans="1:43" hidden="1" outlineLevel="1" x14ac:dyDescent="0.45">
      <c r="A22" s="10" t="s">
        <v>410</v>
      </c>
      <c r="B22" s="39">
        <v>600151063</v>
      </c>
      <c r="C22" s="15">
        <v>5100</v>
      </c>
      <c r="D22" s="15">
        <f ca="1">SUMIFS(Monatsexporte[Saldo],Monatsexporte[Jahr],$B$4,Monatsexporte[Monat],"&lt;="&amp;$B$8,Monatsexporte[Konto],B22)</f>
        <v>15298.98</v>
      </c>
      <c r="E22" s="15">
        <f ca="1">SUMIFS(Monatsexporte[Saldo],Monatsexporte[Jahr],$B$5,Monatsexporte[Monat],"&lt;="&amp;$B$8,Monatsexporte[Konto],B22)</f>
        <v>0</v>
      </c>
      <c r="F22" s="15">
        <f t="shared" ca="1" si="0"/>
        <v>15298.98</v>
      </c>
      <c r="G22" s="22">
        <f t="shared" ca="1" si="1"/>
        <v>0</v>
      </c>
      <c r="H22" s="15">
        <f>SUMIFS(Monatsexporte[Saldo],Monatsexporte[Jahr],$B$4,Monatsexporte[Monat],1,Monatsexporte[Konto],B22)</f>
        <v>0</v>
      </c>
      <c r="I22" s="15">
        <f>SUMIFS(Monatsexporte[Saldo],Monatsexporte[Jahr],$B$5,Monatsexporte[Monat],1,Monatsexporte[Konto],B22)</f>
        <v>0</v>
      </c>
      <c r="J22" s="22">
        <f t="shared" si="2"/>
        <v>0</v>
      </c>
      <c r="K22" s="15">
        <f>SUMIFS(Monatsexporte[Saldo],Monatsexporte[Jahr],$B$4,Monatsexporte[Monat],2,Monatsexporte[Konto],B22)</f>
        <v>0</v>
      </c>
      <c r="L22" s="15">
        <f>SUMIFS(Monatsexporte[Saldo],Monatsexporte[Jahr],$B$5,Monatsexporte[Monat],2,Monatsexporte[Konto],B22)</f>
        <v>0</v>
      </c>
      <c r="M22" s="22">
        <f t="shared" si="3"/>
        <v>0</v>
      </c>
      <c r="N22" s="15">
        <f>SUMIFS(Monatsexporte[Saldo],Monatsexporte[Jahr],$B$4,Monatsexporte[Monat],3,Monatsexporte[Konto],B22)</f>
        <v>5099.66</v>
      </c>
      <c r="O22" s="15">
        <f>SUMIFS(Monatsexporte[Saldo],Monatsexporte[Jahr],$B$5,Monatsexporte[Monat],3,Monatsexporte[Konto],B22)</f>
        <v>0</v>
      </c>
      <c r="P22" s="22">
        <f t="shared" si="4"/>
        <v>0</v>
      </c>
      <c r="Q22" s="15">
        <f>SUMIFS(Monatsexporte[Saldo],Monatsexporte[Jahr],$B$4,Monatsexporte[Monat],4,Monatsexporte[Konto],B22)</f>
        <v>5099.66</v>
      </c>
      <c r="R22" s="15">
        <f>SUMIFS(Monatsexporte[Saldo],Monatsexporte[Jahr],$B$5,Monatsexporte[Monat],4,Monatsexporte[Konto],B22)</f>
        <v>0</v>
      </c>
      <c r="S22" s="22">
        <f t="shared" si="5"/>
        <v>0</v>
      </c>
      <c r="T22" s="15">
        <f>SUMIFS(Monatsexporte[Saldo],Monatsexporte[Jahr],$B$4,Monatsexporte[Monat],5,Monatsexporte[Konto],B22)</f>
        <v>5099.66</v>
      </c>
      <c r="U22" s="15">
        <f>SUMIFS(Monatsexporte[Saldo],Monatsexporte[Jahr],$B$5,Monatsexporte[Monat],5,Monatsexporte[Konto],B22)</f>
        <v>0</v>
      </c>
      <c r="V22" s="22">
        <f t="shared" si="6"/>
        <v>0</v>
      </c>
      <c r="W22" s="15">
        <f>SUMIFS(Monatsexporte[Saldo],Monatsexporte[Jahr],$B$4,Monatsexporte[Monat],6,Monatsexporte[Konto],B22)</f>
        <v>0</v>
      </c>
      <c r="X22" s="15">
        <f>SUMIFS(Monatsexporte[Saldo],Monatsexporte[Jahr],$B$5,Monatsexporte[Monat],6,Monatsexporte[Konto],B22)</f>
        <v>0</v>
      </c>
      <c r="Y22" s="22">
        <f t="shared" si="7"/>
        <v>0</v>
      </c>
      <c r="Z22" s="15">
        <f>SUMIFS(Monatsexporte[Saldo],Monatsexporte[Jahr],$B$4,Monatsexporte[Monat],7,Monatsexporte[Konto],B22)</f>
        <v>0</v>
      </c>
      <c r="AA22" s="15">
        <f>SUMIFS(Monatsexporte[Saldo],Monatsexporte[Jahr],$B$5,Monatsexporte[Monat],7,Monatsexporte[Konto],B22)</f>
        <v>0</v>
      </c>
      <c r="AB22" s="22">
        <f t="shared" si="8"/>
        <v>0</v>
      </c>
      <c r="AC22" s="15">
        <f>SUMIFS(Monatsexporte[Saldo],Monatsexporte[Jahr],$B$4,Monatsexporte[Monat],8,Monatsexporte[Konto],B22)</f>
        <v>0</v>
      </c>
      <c r="AD22" s="15">
        <f>SUMIFS(Monatsexporte[Saldo],Monatsexporte[Jahr],$B$5,Monatsexporte[Monat],8,Monatsexporte[Konto],B22)</f>
        <v>0</v>
      </c>
      <c r="AE22" s="22">
        <f t="shared" si="9"/>
        <v>0</v>
      </c>
      <c r="AF22" s="15">
        <f>SUMIFS(Monatsexporte[Saldo],Monatsexporte[Jahr],$B$4,Monatsexporte[Monat],9,Monatsexporte[Konto],B22)</f>
        <v>0</v>
      </c>
      <c r="AG22" s="15">
        <f>SUMIFS(Monatsexporte[Saldo],Monatsexporte[Jahr],$B$5,Monatsexporte[Monat],9,Monatsexporte[Konto],B22)</f>
        <v>0</v>
      </c>
      <c r="AH22" s="22">
        <f t="shared" si="10"/>
        <v>0</v>
      </c>
      <c r="AI22" s="15">
        <f>SUMIFS(Monatsexporte[Saldo],Monatsexporte[Jahr],$B$4,Monatsexporte[Monat],10,Monatsexporte[Konto],B22)</f>
        <v>0</v>
      </c>
      <c r="AJ22" s="15">
        <f>SUMIFS(Monatsexporte[Saldo],Monatsexporte[Jahr],$B$5,Monatsexporte[Monat],10,Monatsexporte[Konto],B22)</f>
        <v>0</v>
      </c>
      <c r="AK22" s="22">
        <f t="shared" si="11"/>
        <v>0</v>
      </c>
      <c r="AL22" s="15">
        <f>SUMIFS(Monatsexporte[Saldo],Monatsexporte[Jahr],$B$4,Monatsexporte[Monat],11,Monatsexporte[Konto],B22)</f>
        <v>0</v>
      </c>
      <c r="AM22" s="15">
        <f>SUMIFS(Monatsexporte[Saldo],Monatsexporte[Jahr],$B$5,Monatsexporte[Monat],11,Monatsexporte[Konto],B22)</f>
        <v>0</v>
      </c>
      <c r="AN22" s="22">
        <f t="shared" si="12"/>
        <v>0</v>
      </c>
      <c r="AO22" s="15">
        <f>SUMIFS(Monatsexporte[Saldo],Monatsexporte[Jahr],$B$4,Monatsexporte[Monat],12,Monatsexporte[Konto],B22)</f>
        <v>0</v>
      </c>
      <c r="AP22" s="15">
        <f>SUMIFS(Monatsexporte[Saldo],Monatsexporte[Jahr],$B$5,Monatsexporte[Monat],12,Monatsexporte[Konto],B22)</f>
        <v>0</v>
      </c>
      <c r="AQ22" s="22">
        <f t="shared" si="13"/>
        <v>0</v>
      </c>
    </row>
    <row r="23" spans="1:43" collapsed="1" x14ac:dyDescent="0.45">
      <c r="A23" s="1" t="s">
        <v>398</v>
      </c>
      <c r="B23" s="39" t="s">
        <v>399</v>
      </c>
      <c r="C23" s="15">
        <f>SUM(C12:C22)</f>
        <v>256273</v>
      </c>
      <c r="D23" s="15">
        <f ca="1">SUM(D12:D22)</f>
        <v>768815.90999999992</v>
      </c>
      <c r="E23" s="15">
        <f ca="1">SUM(E12:E22)</f>
        <v>0</v>
      </c>
      <c r="F23" s="15">
        <f t="shared" ca="1" si="0"/>
        <v>768815.90999999992</v>
      </c>
      <c r="G23" s="22">
        <f t="shared" ca="1" si="1"/>
        <v>0</v>
      </c>
      <c r="H23" s="15">
        <f>SUM(H12:H22)</f>
        <v>0</v>
      </c>
      <c r="I23" s="15">
        <f>SUM(I12:I22)</f>
        <v>0</v>
      </c>
      <c r="J23" s="22">
        <f t="shared" si="2"/>
        <v>0</v>
      </c>
      <c r="K23" s="15">
        <f>SUM(K12:K22)</f>
        <v>0</v>
      </c>
      <c r="L23" s="15">
        <f>SUM(L12:L22)</f>
        <v>0</v>
      </c>
      <c r="M23" s="22">
        <f t="shared" si="3"/>
        <v>0</v>
      </c>
      <c r="N23" s="15">
        <f>SUM(N12:N22)</f>
        <v>256271.97</v>
      </c>
      <c r="O23" s="15">
        <f>SUM(O12:O22)</f>
        <v>0</v>
      </c>
      <c r="P23" s="22">
        <f t="shared" si="4"/>
        <v>0</v>
      </c>
      <c r="Q23" s="15">
        <f>SUM(Q12:Q22)</f>
        <v>256271.97</v>
      </c>
      <c r="R23" s="15">
        <f>SUM(R12:R22)</f>
        <v>0</v>
      </c>
      <c r="S23" s="22">
        <f t="shared" si="5"/>
        <v>0</v>
      </c>
      <c r="T23" s="15">
        <f>SUM(T12:T22)</f>
        <v>256271.97</v>
      </c>
      <c r="U23" s="15">
        <f>SUM(U12:U22)</f>
        <v>0</v>
      </c>
      <c r="V23" s="22">
        <f t="shared" si="6"/>
        <v>0</v>
      </c>
      <c r="W23" s="15">
        <f>SUM(W12:W22)</f>
        <v>0</v>
      </c>
      <c r="X23" s="15">
        <f>SUM(X12:X22)</f>
        <v>0</v>
      </c>
      <c r="Y23" s="22">
        <f t="shared" si="7"/>
        <v>0</v>
      </c>
      <c r="Z23" s="15">
        <f>SUM(Z12:Z22)</f>
        <v>0</v>
      </c>
      <c r="AA23" s="15">
        <f>SUM(AA12:AA22)</f>
        <v>0</v>
      </c>
      <c r="AB23" s="22">
        <f t="shared" si="8"/>
        <v>0</v>
      </c>
      <c r="AC23" s="15">
        <f>SUM(AC12:AC22)</f>
        <v>0</v>
      </c>
      <c r="AD23" s="15">
        <f>SUM(AD12:AD22)</f>
        <v>0</v>
      </c>
      <c r="AE23" s="22">
        <f t="shared" si="9"/>
        <v>0</v>
      </c>
      <c r="AF23" s="15">
        <f>SUM(AF12:AF22)</f>
        <v>0</v>
      </c>
      <c r="AG23" s="15">
        <f>SUM(AG12:AG22)</f>
        <v>0</v>
      </c>
      <c r="AH23" s="22">
        <f t="shared" si="10"/>
        <v>0</v>
      </c>
      <c r="AI23" s="15">
        <f>SUM(AI12:AI22)</f>
        <v>0</v>
      </c>
      <c r="AJ23" s="15">
        <f>SUM(AJ12:AJ22)</f>
        <v>0</v>
      </c>
      <c r="AK23" s="22">
        <f t="shared" si="11"/>
        <v>0</v>
      </c>
      <c r="AL23" s="15">
        <f>SUM(AL12:AL22)</f>
        <v>0</v>
      </c>
      <c r="AM23" s="15">
        <f>SUM(AM12:AM22)</f>
        <v>0</v>
      </c>
      <c r="AN23" s="22">
        <f t="shared" si="12"/>
        <v>0</v>
      </c>
      <c r="AO23" s="15">
        <f>SUM(AO12:AO22)</f>
        <v>0</v>
      </c>
      <c r="AP23" s="15">
        <f>SUM(AP12:AP22)</f>
        <v>0</v>
      </c>
      <c r="AQ23" s="22">
        <f t="shared" si="13"/>
        <v>0</v>
      </c>
    </row>
    <row r="24" spans="1:43" hidden="1" outlineLevel="1" x14ac:dyDescent="0.45">
      <c r="A24" s="10" t="s">
        <v>413</v>
      </c>
      <c r="B24" s="39">
        <v>6401550</v>
      </c>
      <c r="C24" s="15">
        <v>13500</v>
      </c>
      <c r="D24" s="15">
        <f ca="1">SUMIFS(Monatsexporte[Saldo],Monatsexporte[Jahr],$B$4,Monatsexporte[Monat],"&lt;="&amp;$B$8,Monatsexporte[Konto],B24)</f>
        <v>40500</v>
      </c>
      <c r="E24" s="15">
        <f ca="1">SUMIFS(Monatsexporte[Saldo],Monatsexporte[Jahr],$B$5,Monatsexporte[Monat],"&lt;="&amp;$B$8,Monatsexporte[Konto],B24)</f>
        <v>0</v>
      </c>
      <c r="F24" s="15">
        <f t="shared" ca="1" si="0"/>
        <v>40500</v>
      </c>
      <c r="G24" s="22">
        <f t="shared" ca="1" si="1"/>
        <v>0</v>
      </c>
      <c r="H24" s="15">
        <f>SUMIFS(Monatsexporte[Saldo],Monatsexporte[Jahr],$B$4,Monatsexporte[Monat],1,Monatsexporte[Konto],B24)</f>
        <v>0</v>
      </c>
      <c r="I24" s="15">
        <f>SUMIFS(Monatsexporte[Saldo],Monatsexporte[Jahr],$B$5,Monatsexporte[Monat],1,Monatsexporte[Konto],B24)</f>
        <v>0</v>
      </c>
      <c r="J24" s="22">
        <f t="shared" si="2"/>
        <v>0</v>
      </c>
      <c r="K24" s="15">
        <f>SUMIFS(Monatsexporte[Saldo],Monatsexporte[Jahr],$B$4,Monatsexporte[Monat],2,Monatsexporte[Konto],B24)</f>
        <v>0</v>
      </c>
      <c r="L24" s="15">
        <f>SUMIFS(Monatsexporte[Saldo],Monatsexporte[Jahr],$B$5,Monatsexporte[Monat],2,Monatsexporte[Konto],B24)</f>
        <v>0</v>
      </c>
      <c r="M24" s="22">
        <f t="shared" si="3"/>
        <v>0</v>
      </c>
      <c r="N24" s="15">
        <f>SUMIFS(Monatsexporte[Saldo],Monatsexporte[Jahr],$B$4,Monatsexporte[Monat],3,Monatsexporte[Konto],B24)</f>
        <v>13500</v>
      </c>
      <c r="O24" s="15">
        <f>SUMIFS(Monatsexporte[Saldo],Monatsexporte[Jahr],$B$5,Monatsexporte[Monat],3,Monatsexporte[Konto],B24)</f>
        <v>0</v>
      </c>
      <c r="P24" s="22">
        <f t="shared" si="4"/>
        <v>0</v>
      </c>
      <c r="Q24" s="15">
        <f>SUMIFS(Monatsexporte[Saldo],Monatsexporte[Jahr],$B$4,Monatsexporte[Monat],4,Monatsexporte[Konto],B24)</f>
        <v>13500</v>
      </c>
      <c r="R24" s="15">
        <f>SUMIFS(Monatsexporte[Saldo],Monatsexporte[Jahr],$B$5,Monatsexporte[Monat],4,Monatsexporte[Konto],B24)</f>
        <v>0</v>
      </c>
      <c r="S24" s="22">
        <f t="shared" si="5"/>
        <v>0</v>
      </c>
      <c r="T24" s="15">
        <f>SUMIFS(Monatsexporte[Saldo],Monatsexporte[Jahr],$B$4,Monatsexporte[Monat],5,Monatsexporte[Konto],B24)</f>
        <v>13500</v>
      </c>
      <c r="U24" s="15">
        <f>SUMIFS(Monatsexporte[Saldo],Monatsexporte[Jahr],$B$5,Monatsexporte[Monat],5,Monatsexporte[Konto],B24)</f>
        <v>0</v>
      </c>
      <c r="V24" s="22">
        <f t="shared" si="6"/>
        <v>0</v>
      </c>
      <c r="W24" s="15">
        <f>SUMIFS(Monatsexporte[Saldo],Monatsexporte[Jahr],$B$4,Monatsexporte[Monat],6,Monatsexporte[Konto],B24)</f>
        <v>0</v>
      </c>
      <c r="X24" s="15">
        <f>SUMIFS(Monatsexporte[Saldo],Monatsexporte[Jahr],$B$5,Monatsexporte[Monat],6,Monatsexporte[Konto],B24)</f>
        <v>0</v>
      </c>
      <c r="Y24" s="22">
        <f t="shared" si="7"/>
        <v>0</v>
      </c>
      <c r="Z24" s="15">
        <f>SUMIFS(Monatsexporte[Saldo],Monatsexporte[Jahr],$B$4,Monatsexporte[Monat],7,Monatsexporte[Konto],B24)</f>
        <v>0</v>
      </c>
      <c r="AA24" s="15">
        <f>SUMIFS(Monatsexporte[Saldo],Monatsexporte[Jahr],$B$5,Monatsexporte[Monat],7,Monatsexporte[Konto],B24)</f>
        <v>0</v>
      </c>
      <c r="AB24" s="22">
        <f t="shared" si="8"/>
        <v>0</v>
      </c>
      <c r="AC24" s="15">
        <f>SUMIFS(Monatsexporte[Saldo],Monatsexporte[Jahr],$B$4,Monatsexporte[Monat],8,Monatsexporte[Konto],B24)</f>
        <v>0</v>
      </c>
      <c r="AD24" s="15">
        <f>SUMIFS(Monatsexporte[Saldo],Monatsexporte[Jahr],$B$5,Monatsexporte[Monat],8,Monatsexporte[Konto],B24)</f>
        <v>0</v>
      </c>
      <c r="AE24" s="22">
        <f t="shared" si="9"/>
        <v>0</v>
      </c>
      <c r="AF24" s="15">
        <f>SUMIFS(Monatsexporte[Saldo],Monatsexporte[Jahr],$B$4,Monatsexporte[Monat],9,Monatsexporte[Konto],B24)</f>
        <v>0</v>
      </c>
      <c r="AG24" s="15">
        <f>SUMIFS(Monatsexporte[Saldo],Monatsexporte[Jahr],$B$5,Monatsexporte[Monat],9,Monatsexporte[Konto],B24)</f>
        <v>0</v>
      </c>
      <c r="AH24" s="22">
        <f t="shared" si="10"/>
        <v>0</v>
      </c>
      <c r="AI24" s="15">
        <f>SUMIFS(Monatsexporte[Saldo],Monatsexporte[Jahr],$B$4,Monatsexporte[Monat],10,Monatsexporte[Konto],B24)</f>
        <v>0</v>
      </c>
      <c r="AJ24" s="15">
        <f>SUMIFS(Monatsexporte[Saldo],Monatsexporte[Jahr],$B$5,Monatsexporte[Monat],10,Monatsexporte[Konto],B24)</f>
        <v>0</v>
      </c>
      <c r="AK24" s="22">
        <f t="shared" si="11"/>
        <v>0</v>
      </c>
      <c r="AL24" s="15">
        <f>SUMIFS(Monatsexporte[Saldo],Monatsexporte[Jahr],$B$4,Monatsexporte[Monat],11,Monatsexporte[Konto],B24)</f>
        <v>0</v>
      </c>
      <c r="AM24" s="15">
        <f>SUMIFS(Monatsexporte[Saldo],Monatsexporte[Jahr],$B$5,Monatsexporte[Monat],11,Monatsexporte[Konto],B24)</f>
        <v>0</v>
      </c>
      <c r="AN24" s="22">
        <f t="shared" si="12"/>
        <v>0</v>
      </c>
      <c r="AO24" s="15">
        <f>SUMIFS(Monatsexporte[Saldo],Monatsexporte[Jahr],$B$4,Monatsexporte[Monat],12,Monatsexporte[Konto],B24)</f>
        <v>0</v>
      </c>
      <c r="AP24" s="15">
        <f>SUMIFS(Monatsexporte[Saldo],Monatsexporte[Jahr],$B$5,Monatsexporte[Monat],12,Monatsexporte[Konto],B24)</f>
        <v>0</v>
      </c>
      <c r="AQ24" s="22">
        <f t="shared" si="13"/>
        <v>0</v>
      </c>
    </row>
    <row r="25" spans="1:43" hidden="1" outlineLevel="1" x14ac:dyDescent="0.45">
      <c r="A25" s="10" t="s">
        <v>414</v>
      </c>
      <c r="B25" s="39">
        <v>6401551</v>
      </c>
      <c r="C25" s="15">
        <v>11900</v>
      </c>
      <c r="D25" s="15">
        <f ca="1">SUMIFS(Monatsexporte[Saldo],Monatsexporte[Jahr],$B$4,Monatsexporte[Monat],"&lt;="&amp;$B$8,Monatsexporte[Konto],B25)</f>
        <v>35700</v>
      </c>
      <c r="E25" s="15">
        <f ca="1">SUMIFS(Monatsexporte[Saldo],Monatsexporte[Jahr],$B$5,Monatsexporte[Monat],"&lt;="&amp;$B$8,Monatsexporte[Konto],B25)</f>
        <v>0</v>
      </c>
      <c r="F25" s="15">
        <f t="shared" ca="1" si="0"/>
        <v>35700</v>
      </c>
      <c r="G25" s="22">
        <f t="shared" ca="1" si="1"/>
        <v>0</v>
      </c>
      <c r="H25" s="15">
        <f>SUMIFS(Monatsexporte[Saldo],Monatsexporte[Jahr],$B$4,Monatsexporte[Monat],1,Monatsexporte[Konto],B25)</f>
        <v>0</v>
      </c>
      <c r="I25" s="15">
        <f>SUMIFS(Monatsexporte[Saldo],Monatsexporte[Jahr],$B$5,Monatsexporte[Monat],1,Monatsexporte[Konto],B25)</f>
        <v>0</v>
      </c>
      <c r="J25" s="22">
        <f t="shared" si="2"/>
        <v>0</v>
      </c>
      <c r="K25" s="15">
        <f>SUMIFS(Monatsexporte[Saldo],Monatsexporte[Jahr],$B$4,Monatsexporte[Monat],2,Monatsexporte[Konto],B25)</f>
        <v>0</v>
      </c>
      <c r="L25" s="15">
        <f>SUMIFS(Monatsexporte[Saldo],Monatsexporte[Jahr],$B$5,Monatsexporte[Monat],2,Monatsexporte[Konto],B25)</f>
        <v>0</v>
      </c>
      <c r="M25" s="22">
        <f t="shared" si="3"/>
        <v>0</v>
      </c>
      <c r="N25" s="15">
        <f>SUMIFS(Monatsexporte[Saldo],Monatsexporte[Jahr],$B$4,Monatsexporte[Monat],3,Monatsexporte[Konto],B25)</f>
        <v>11900</v>
      </c>
      <c r="O25" s="15">
        <f>SUMIFS(Monatsexporte[Saldo],Monatsexporte[Jahr],$B$5,Monatsexporte[Monat],3,Monatsexporte[Konto],B25)</f>
        <v>0</v>
      </c>
      <c r="P25" s="22">
        <f t="shared" si="4"/>
        <v>0</v>
      </c>
      <c r="Q25" s="15">
        <f>SUMIFS(Monatsexporte[Saldo],Monatsexporte[Jahr],$B$4,Monatsexporte[Monat],4,Monatsexporte[Konto],B25)</f>
        <v>11900</v>
      </c>
      <c r="R25" s="15">
        <f>SUMIFS(Monatsexporte[Saldo],Monatsexporte[Jahr],$B$5,Monatsexporte[Monat],4,Monatsexporte[Konto],B25)</f>
        <v>0</v>
      </c>
      <c r="S25" s="22">
        <f t="shared" si="5"/>
        <v>0</v>
      </c>
      <c r="T25" s="15">
        <f>SUMIFS(Monatsexporte[Saldo],Monatsexporte[Jahr],$B$4,Monatsexporte[Monat],5,Monatsexporte[Konto],B25)</f>
        <v>11900</v>
      </c>
      <c r="U25" s="15">
        <f>SUMIFS(Monatsexporte[Saldo],Monatsexporte[Jahr],$B$5,Monatsexporte[Monat],5,Monatsexporte[Konto],B25)</f>
        <v>0</v>
      </c>
      <c r="V25" s="22">
        <f t="shared" si="6"/>
        <v>0</v>
      </c>
      <c r="W25" s="15">
        <f>SUMIFS(Monatsexporte[Saldo],Monatsexporte[Jahr],$B$4,Monatsexporte[Monat],6,Monatsexporte[Konto],B25)</f>
        <v>0</v>
      </c>
      <c r="X25" s="15">
        <f>SUMIFS(Monatsexporte[Saldo],Monatsexporte[Jahr],$B$5,Monatsexporte[Monat],6,Monatsexporte[Konto],B25)</f>
        <v>0</v>
      </c>
      <c r="Y25" s="22">
        <f t="shared" si="7"/>
        <v>0</v>
      </c>
      <c r="Z25" s="15">
        <f>SUMIFS(Monatsexporte[Saldo],Monatsexporte[Jahr],$B$4,Monatsexporte[Monat],7,Monatsexporte[Konto],B25)</f>
        <v>0</v>
      </c>
      <c r="AA25" s="15">
        <f>SUMIFS(Monatsexporte[Saldo],Monatsexporte[Jahr],$B$5,Monatsexporte[Monat],7,Monatsexporte[Konto],B25)</f>
        <v>0</v>
      </c>
      <c r="AB25" s="22">
        <f t="shared" si="8"/>
        <v>0</v>
      </c>
      <c r="AC25" s="15">
        <f>SUMIFS(Monatsexporte[Saldo],Monatsexporte[Jahr],$B$4,Monatsexporte[Monat],8,Monatsexporte[Konto],B25)</f>
        <v>0</v>
      </c>
      <c r="AD25" s="15">
        <f>SUMIFS(Monatsexporte[Saldo],Monatsexporte[Jahr],$B$5,Monatsexporte[Monat],8,Monatsexporte[Konto],B25)</f>
        <v>0</v>
      </c>
      <c r="AE25" s="22">
        <f t="shared" si="9"/>
        <v>0</v>
      </c>
      <c r="AF25" s="15">
        <f>SUMIFS(Monatsexporte[Saldo],Monatsexporte[Jahr],$B$4,Monatsexporte[Monat],9,Monatsexporte[Konto],B25)</f>
        <v>0</v>
      </c>
      <c r="AG25" s="15">
        <f>SUMIFS(Monatsexporte[Saldo],Monatsexporte[Jahr],$B$5,Monatsexporte[Monat],9,Monatsexporte[Konto],B25)</f>
        <v>0</v>
      </c>
      <c r="AH25" s="22">
        <f t="shared" si="10"/>
        <v>0</v>
      </c>
      <c r="AI25" s="15">
        <f>SUMIFS(Monatsexporte[Saldo],Monatsexporte[Jahr],$B$4,Monatsexporte[Monat],10,Monatsexporte[Konto],B25)</f>
        <v>0</v>
      </c>
      <c r="AJ25" s="15">
        <f>SUMIFS(Monatsexporte[Saldo],Monatsexporte[Jahr],$B$5,Monatsexporte[Monat],10,Monatsexporte[Konto],B25)</f>
        <v>0</v>
      </c>
      <c r="AK25" s="22">
        <f t="shared" si="11"/>
        <v>0</v>
      </c>
      <c r="AL25" s="15">
        <f>SUMIFS(Monatsexporte[Saldo],Monatsexporte[Jahr],$B$4,Monatsexporte[Monat],11,Monatsexporte[Konto],B25)</f>
        <v>0</v>
      </c>
      <c r="AM25" s="15">
        <f>SUMIFS(Monatsexporte[Saldo],Monatsexporte[Jahr],$B$5,Monatsexporte[Monat],11,Monatsexporte[Konto],B25)</f>
        <v>0</v>
      </c>
      <c r="AN25" s="22">
        <f t="shared" si="12"/>
        <v>0</v>
      </c>
      <c r="AO25" s="15">
        <f>SUMIFS(Monatsexporte[Saldo],Monatsexporte[Jahr],$B$4,Monatsexporte[Monat],12,Monatsexporte[Konto],B25)</f>
        <v>0</v>
      </c>
      <c r="AP25" s="15">
        <f>SUMIFS(Monatsexporte[Saldo],Monatsexporte[Jahr],$B$5,Monatsexporte[Monat],12,Monatsexporte[Konto],B25)</f>
        <v>0</v>
      </c>
      <c r="AQ25" s="22">
        <f t="shared" si="13"/>
        <v>0</v>
      </c>
    </row>
    <row r="26" spans="1:43" hidden="1" outlineLevel="1" x14ac:dyDescent="0.45">
      <c r="A26" s="10" t="s">
        <v>415</v>
      </c>
      <c r="B26" s="39">
        <v>6401552</v>
      </c>
      <c r="C26" s="15">
        <v>102600</v>
      </c>
      <c r="D26" s="15">
        <f ca="1">SUMIFS(Monatsexporte[Saldo],Monatsexporte[Jahr],$B$4,Monatsexporte[Monat],"&lt;="&amp;$B$8,Monatsexporte[Konto],B26)</f>
        <v>307800</v>
      </c>
      <c r="E26" s="15">
        <f ca="1">SUMIFS(Monatsexporte[Saldo],Monatsexporte[Jahr],$B$5,Monatsexporte[Monat],"&lt;="&amp;$B$8,Monatsexporte[Konto],B26)</f>
        <v>0</v>
      </c>
      <c r="F26" s="15">
        <f t="shared" ca="1" si="0"/>
        <v>307800</v>
      </c>
      <c r="G26" s="22">
        <f t="shared" ca="1" si="1"/>
        <v>0</v>
      </c>
      <c r="H26" s="15">
        <f>SUMIFS(Monatsexporte[Saldo],Monatsexporte[Jahr],$B$4,Monatsexporte[Monat],1,Monatsexporte[Konto],B26)</f>
        <v>0</v>
      </c>
      <c r="I26" s="15">
        <f>SUMIFS(Monatsexporte[Saldo],Monatsexporte[Jahr],$B$5,Monatsexporte[Monat],1,Monatsexporte[Konto],B26)</f>
        <v>0</v>
      </c>
      <c r="J26" s="22">
        <f t="shared" si="2"/>
        <v>0</v>
      </c>
      <c r="K26" s="15">
        <f>SUMIFS(Monatsexporte[Saldo],Monatsexporte[Jahr],$B$4,Monatsexporte[Monat],2,Monatsexporte[Konto],B26)</f>
        <v>0</v>
      </c>
      <c r="L26" s="15">
        <f>SUMIFS(Monatsexporte[Saldo],Monatsexporte[Jahr],$B$5,Monatsexporte[Monat],2,Monatsexporte[Konto],B26)</f>
        <v>0</v>
      </c>
      <c r="M26" s="22">
        <f t="shared" si="3"/>
        <v>0</v>
      </c>
      <c r="N26" s="15">
        <f>SUMIFS(Monatsexporte[Saldo],Monatsexporte[Jahr],$B$4,Monatsexporte[Monat],3,Monatsexporte[Konto],B26)</f>
        <v>102600</v>
      </c>
      <c r="O26" s="15">
        <f>SUMIFS(Monatsexporte[Saldo],Monatsexporte[Jahr],$B$5,Monatsexporte[Monat],3,Monatsexporte[Konto],B26)</f>
        <v>0</v>
      </c>
      <c r="P26" s="22">
        <f t="shared" si="4"/>
        <v>0</v>
      </c>
      <c r="Q26" s="15">
        <f>SUMIFS(Monatsexporte[Saldo],Monatsexporte[Jahr],$B$4,Monatsexporte[Monat],4,Monatsexporte[Konto],B26)</f>
        <v>102600</v>
      </c>
      <c r="R26" s="15">
        <f>SUMIFS(Monatsexporte[Saldo],Monatsexporte[Jahr],$B$5,Monatsexporte[Monat],4,Monatsexporte[Konto],B26)</f>
        <v>0</v>
      </c>
      <c r="S26" s="22">
        <f t="shared" si="5"/>
        <v>0</v>
      </c>
      <c r="T26" s="15">
        <f>SUMIFS(Monatsexporte[Saldo],Monatsexporte[Jahr],$B$4,Monatsexporte[Monat],5,Monatsexporte[Konto],B26)</f>
        <v>102600</v>
      </c>
      <c r="U26" s="15">
        <f>SUMIFS(Monatsexporte[Saldo],Monatsexporte[Jahr],$B$5,Monatsexporte[Monat],5,Monatsexporte[Konto],B26)</f>
        <v>0</v>
      </c>
      <c r="V26" s="22">
        <f t="shared" si="6"/>
        <v>0</v>
      </c>
      <c r="W26" s="15">
        <f>SUMIFS(Monatsexporte[Saldo],Monatsexporte[Jahr],$B$4,Monatsexporte[Monat],6,Monatsexporte[Konto],B26)</f>
        <v>0</v>
      </c>
      <c r="X26" s="15">
        <f>SUMIFS(Monatsexporte[Saldo],Monatsexporte[Jahr],$B$5,Monatsexporte[Monat],6,Monatsexporte[Konto],B26)</f>
        <v>0</v>
      </c>
      <c r="Y26" s="22">
        <f t="shared" si="7"/>
        <v>0</v>
      </c>
      <c r="Z26" s="15">
        <f>SUMIFS(Monatsexporte[Saldo],Monatsexporte[Jahr],$B$4,Monatsexporte[Monat],7,Monatsexporte[Konto],B26)</f>
        <v>0</v>
      </c>
      <c r="AA26" s="15">
        <f>SUMIFS(Monatsexporte[Saldo],Monatsexporte[Jahr],$B$5,Monatsexporte[Monat],7,Monatsexporte[Konto],B26)</f>
        <v>0</v>
      </c>
      <c r="AB26" s="22">
        <f t="shared" si="8"/>
        <v>0</v>
      </c>
      <c r="AC26" s="15">
        <f>SUMIFS(Monatsexporte[Saldo],Monatsexporte[Jahr],$B$4,Monatsexporte[Monat],8,Monatsexporte[Konto],B26)</f>
        <v>0</v>
      </c>
      <c r="AD26" s="15">
        <f>SUMIFS(Monatsexporte[Saldo],Monatsexporte[Jahr],$B$5,Monatsexporte[Monat],8,Monatsexporte[Konto],B26)</f>
        <v>0</v>
      </c>
      <c r="AE26" s="22">
        <f t="shared" si="9"/>
        <v>0</v>
      </c>
      <c r="AF26" s="15">
        <f>SUMIFS(Monatsexporte[Saldo],Monatsexporte[Jahr],$B$4,Monatsexporte[Monat],9,Monatsexporte[Konto],B26)</f>
        <v>0</v>
      </c>
      <c r="AG26" s="15">
        <f>SUMIFS(Monatsexporte[Saldo],Monatsexporte[Jahr],$B$5,Monatsexporte[Monat],9,Monatsexporte[Konto],B26)</f>
        <v>0</v>
      </c>
      <c r="AH26" s="22">
        <f t="shared" si="10"/>
        <v>0</v>
      </c>
      <c r="AI26" s="15">
        <f>SUMIFS(Monatsexporte[Saldo],Monatsexporte[Jahr],$B$4,Monatsexporte[Monat],10,Monatsexporte[Konto],B26)</f>
        <v>0</v>
      </c>
      <c r="AJ26" s="15">
        <f>SUMIFS(Monatsexporte[Saldo],Monatsexporte[Jahr],$B$5,Monatsexporte[Monat],10,Monatsexporte[Konto],B26)</f>
        <v>0</v>
      </c>
      <c r="AK26" s="22">
        <f t="shared" si="11"/>
        <v>0</v>
      </c>
      <c r="AL26" s="15">
        <f>SUMIFS(Monatsexporte[Saldo],Monatsexporte[Jahr],$B$4,Monatsexporte[Monat],11,Monatsexporte[Konto],B26)</f>
        <v>0</v>
      </c>
      <c r="AM26" s="15">
        <f>SUMIFS(Monatsexporte[Saldo],Monatsexporte[Jahr],$B$5,Monatsexporte[Monat],11,Monatsexporte[Konto],B26)</f>
        <v>0</v>
      </c>
      <c r="AN26" s="22">
        <f t="shared" si="12"/>
        <v>0</v>
      </c>
      <c r="AO26" s="15">
        <f>SUMIFS(Monatsexporte[Saldo],Monatsexporte[Jahr],$B$4,Monatsexporte[Monat],12,Monatsexporte[Konto],B26)</f>
        <v>0</v>
      </c>
      <c r="AP26" s="15">
        <f>SUMIFS(Monatsexporte[Saldo],Monatsexporte[Jahr],$B$5,Monatsexporte[Monat],12,Monatsexporte[Konto],B26)</f>
        <v>0</v>
      </c>
      <c r="AQ26" s="22">
        <f t="shared" si="13"/>
        <v>0</v>
      </c>
    </row>
    <row r="27" spans="1:43" hidden="1" outlineLevel="1" x14ac:dyDescent="0.45">
      <c r="A27" s="10" t="s">
        <v>416</v>
      </c>
      <c r="B27" s="39">
        <v>6401554</v>
      </c>
      <c r="C27" s="15">
        <v>354989</v>
      </c>
      <c r="D27" s="15">
        <f ca="1">SUMIFS(Monatsexporte[Saldo],Monatsexporte[Jahr],$B$4,Monatsexporte[Monat],"&lt;="&amp;$B$8,Monatsexporte[Konto],B27)</f>
        <v>1064966.22</v>
      </c>
      <c r="E27" s="15">
        <f ca="1">SUMIFS(Monatsexporte[Saldo],Monatsexporte[Jahr],$B$5,Monatsexporte[Monat],"&lt;="&amp;$B$8,Monatsexporte[Konto],B27)</f>
        <v>0</v>
      </c>
      <c r="F27" s="15">
        <f t="shared" ca="1" si="0"/>
        <v>1064966.22</v>
      </c>
      <c r="G27" s="22">
        <f t="shared" ca="1" si="1"/>
        <v>0</v>
      </c>
      <c r="H27" s="15">
        <f>SUMIFS(Monatsexporte[Saldo],Monatsexporte[Jahr],$B$4,Monatsexporte[Monat],1,Monatsexporte[Konto],B27)</f>
        <v>0</v>
      </c>
      <c r="I27" s="15">
        <f>SUMIFS(Monatsexporte[Saldo],Monatsexporte[Jahr],$B$5,Monatsexporte[Monat],1,Monatsexporte[Konto],B27)</f>
        <v>0</v>
      </c>
      <c r="J27" s="22">
        <f t="shared" si="2"/>
        <v>0</v>
      </c>
      <c r="K27" s="15">
        <f>SUMIFS(Monatsexporte[Saldo],Monatsexporte[Jahr],$B$4,Monatsexporte[Monat],2,Monatsexporte[Konto],B27)</f>
        <v>0</v>
      </c>
      <c r="L27" s="15">
        <f>SUMIFS(Monatsexporte[Saldo],Monatsexporte[Jahr],$B$5,Monatsexporte[Monat],2,Monatsexporte[Konto],B27)</f>
        <v>0</v>
      </c>
      <c r="M27" s="22">
        <f t="shared" si="3"/>
        <v>0</v>
      </c>
      <c r="N27" s="15">
        <f>SUMIFS(Monatsexporte[Saldo],Monatsexporte[Jahr],$B$4,Monatsexporte[Monat],3,Monatsexporte[Konto],B27)</f>
        <v>354988.74</v>
      </c>
      <c r="O27" s="15">
        <f>SUMIFS(Monatsexporte[Saldo],Monatsexporte[Jahr],$B$5,Monatsexporte[Monat],3,Monatsexporte[Konto],B27)</f>
        <v>0</v>
      </c>
      <c r="P27" s="22">
        <f t="shared" si="4"/>
        <v>0</v>
      </c>
      <c r="Q27" s="15">
        <f>SUMIFS(Monatsexporte[Saldo],Monatsexporte[Jahr],$B$4,Monatsexporte[Monat],4,Monatsexporte[Konto],B27)</f>
        <v>354988.74</v>
      </c>
      <c r="R27" s="15">
        <f>SUMIFS(Monatsexporte[Saldo],Monatsexporte[Jahr],$B$5,Monatsexporte[Monat],4,Monatsexporte[Konto],B27)</f>
        <v>0</v>
      </c>
      <c r="S27" s="22">
        <f t="shared" si="5"/>
        <v>0</v>
      </c>
      <c r="T27" s="15">
        <f>SUMIFS(Monatsexporte[Saldo],Monatsexporte[Jahr],$B$4,Monatsexporte[Monat],5,Monatsexporte[Konto],B27)</f>
        <v>354988.74</v>
      </c>
      <c r="U27" s="15">
        <f>SUMIFS(Monatsexporte[Saldo],Monatsexporte[Jahr],$B$5,Monatsexporte[Monat],5,Monatsexporte[Konto],B27)</f>
        <v>0</v>
      </c>
      <c r="V27" s="22">
        <f t="shared" si="6"/>
        <v>0</v>
      </c>
      <c r="W27" s="15">
        <f>SUMIFS(Monatsexporte[Saldo],Monatsexporte[Jahr],$B$4,Monatsexporte[Monat],6,Monatsexporte[Konto],B27)</f>
        <v>0</v>
      </c>
      <c r="X27" s="15">
        <f>SUMIFS(Monatsexporte[Saldo],Monatsexporte[Jahr],$B$5,Monatsexporte[Monat],6,Monatsexporte[Konto],B27)</f>
        <v>0</v>
      </c>
      <c r="Y27" s="22">
        <f t="shared" si="7"/>
        <v>0</v>
      </c>
      <c r="Z27" s="15">
        <f>SUMIFS(Monatsexporte[Saldo],Monatsexporte[Jahr],$B$4,Monatsexporte[Monat],7,Monatsexporte[Konto],B27)</f>
        <v>0</v>
      </c>
      <c r="AA27" s="15">
        <f>SUMIFS(Monatsexporte[Saldo],Monatsexporte[Jahr],$B$5,Monatsexporte[Monat],7,Monatsexporte[Konto],B27)</f>
        <v>0</v>
      </c>
      <c r="AB27" s="22">
        <f t="shared" si="8"/>
        <v>0</v>
      </c>
      <c r="AC27" s="15">
        <f>SUMIFS(Monatsexporte[Saldo],Monatsexporte[Jahr],$B$4,Monatsexporte[Monat],8,Monatsexporte[Konto],B27)</f>
        <v>0</v>
      </c>
      <c r="AD27" s="15">
        <f>SUMIFS(Monatsexporte[Saldo],Monatsexporte[Jahr],$B$5,Monatsexporte[Monat],8,Monatsexporte[Konto],B27)</f>
        <v>0</v>
      </c>
      <c r="AE27" s="22">
        <f t="shared" si="9"/>
        <v>0</v>
      </c>
      <c r="AF27" s="15">
        <f>SUMIFS(Monatsexporte[Saldo],Monatsexporte[Jahr],$B$4,Monatsexporte[Monat],9,Monatsexporte[Konto],B27)</f>
        <v>0</v>
      </c>
      <c r="AG27" s="15">
        <f>SUMIFS(Monatsexporte[Saldo],Monatsexporte[Jahr],$B$5,Monatsexporte[Monat],9,Monatsexporte[Konto],B27)</f>
        <v>0</v>
      </c>
      <c r="AH27" s="22">
        <f t="shared" si="10"/>
        <v>0</v>
      </c>
      <c r="AI27" s="15">
        <f>SUMIFS(Monatsexporte[Saldo],Monatsexporte[Jahr],$B$4,Monatsexporte[Monat],10,Monatsexporte[Konto],B27)</f>
        <v>0</v>
      </c>
      <c r="AJ27" s="15">
        <f>SUMIFS(Monatsexporte[Saldo],Monatsexporte[Jahr],$B$5,Monatsexporte[Monat],10,Monatsexporte[Konto],B27)</f>
        <v>0</v>
      </c>
      <c r="AK27" s="22">
        <f t="shared" si="11"/>
        <v>0</v>
      </c>
      <c r="AL27" s="15">
        <f>SUMIFS(Monatsexporte[Saldo],Monatsexporte[Jahr],$B$4,Monatsexporte[Monat],11,Monatsexporte[Konto],B27)</f>
        <v>0</v>
      </c>
      <c r="AM27" s="15">
        <f>SUMIFS(Monatsexporte[Saldo],Monatsexporte[Jahr],$B$5,Monatsexporte[Monat],11,Monatsexporte[Konto],B27)</f>
        <v>0</v>
      </c>
      <c r="AN27" s="22">
        <f t="shared" si="12"/>
        <v>0</v>
      </c>
      <c r="AO27" s="15">
        <f>SUMIFS(Monatsexporte[Saldo],Monatsexporte[Jahr],$B$4,Monatsexporte[Monat],12,Monatsexporte[Konto],B27)</f>
        <v>0</v>
      </c>
      <c r="AP27" s="15">
        <f>SUMIFS(Monatsexporte[Saldo],Monatsexporte[Jahr],$B$5,Monatsexporte[Monat],12,Monatsexporte[Konto],B27)</f>
        <v>0</v>
      </c>
      <c r="AQ27" s="22">
        <f t="shared" si="13"/>
        <v>0</v>
      </c>
    </row>
    <row r="28" spans="1:43" hidden="1" outlineLevel="1" x14ac:dyDescent="0.45">
      <c r="A28" s="10" t="s">
        <v>417</v>
      </c>
      <c r="B28" s="39">
        <v>6401556</v>
      </c>
      <c r="C28" s="15">
        <v>18000</v>
      </c>
      <c r="D28" s="15">
        <f ca="1">SUMIFS(Monatsexporte[Saldo],Monatsexporte[Jahr],$B$4,Monatsexporte[Monat],"&lt;="&amp;$B$8,Monatsexporte[Konto],B28)</f>
        <v>54000</v>
      </c>
      <c r="E28" s="15">
        <f ca="1">SUMIFS(Monatsexporte[Saldo],Monatsexporte[Jahr],$B$5,Monatsexporte[Monat],"&lt;="&amp;$B$8,Monatsexporte[Konto],B28)</f>
        <v>0</v>
      </c>
      <c r="F28" s="15">
        <f t="shared" ca="1" si="0"/>
        <v>54000</v>
      </c>
      <c r="G28" s="22">
        <f t="shared" ca="1" si="1"/>
        <v>0</v>
      </c>
      <c r="H28" s="15">
        <f>SUMIFS(Monatsexporte[Saldo],Monatsexporte[Jahr],$B$4,Monatsexporte[Monat],1,Monatsexporte[Konto],B28)</f>
        <v>0</v>
      </c>
      <c r="I28" s="15">
        <f>SUMIFS(Monatsexporte[Saldo],Monatsexporte[Jahr],$B$5,Monatsexporte[Monat],1,Monatsexporte[Konto],B28)</f>
        <v>0</v>
      </c>
      <c r="J28" s="22">
        <f t="shared" si="2"/>
        <v>0</v>
      </c>
      <c r="K28" s="15">
        <f>SUMIFS(Monatsexporte[Saldo],Monatsexporte[Jahr],$B$4,Monatsexporte[Monat],2,Monatsexporte[Konto],B28)</f>
        <v>0</v>
      </c>
      <c r="L28" s="15">
        <f>SUMIFS(Monatsexporte[Saldo],Monatsexporte[Jahr],$B$5,Monatsexporte[Monat],2,Monatsexporte[Konto],B28)</f>
        <v>0</v>
      </c>
      <c r="M28" s="22">
        <f t="shared" si="3"/>
        <v>0</v>
      </c>
      <c r="N28" s="15">
        <f>SUMIFS(Monatsexporte[Saldo],Monatsexporte[Jahr],$B$4,Monatsexporte[Monat],3,Monatsexporte[Konto],B28)</f>
        <v>18000</v>
      </c>
      <c r="O28" s="15">
        <f>SUMIFS(Monatsexporte[Saldo],Monatsexporte[Jahr],$B$5,Monatsexporte[Monat],3,Monatsexporte[Konto],B28)</f>
        <v>0</v>
      </c>
      <c r="P28" s="22">
        <f t="shared" si="4"/>
        <v>0</v>
      </c>
      <c r="Q28" s="15">
        <f>SUMIFS(Monatsexporte[Saldo],Monatsexporte[Jahr],$B$4,Monatsexporte[Monat],4,Monatsexporte[Konto],B28)</f>
        <v>18000</v>
      </c>
      <c r="R28" s="15">
        <f>SUMIFS(Monatsexporte[Saldo],Monatsexporte[Jahr],$B$5,Monatsexporte[Monat],4,Monatsexporte[Konto],B28)</f>
        <v>0</v>
      </c>
      <c r="S28" s="22">
        <f t="shared" si="5"/>
        <v>0</v>
      </c>
      <c r="T28" s="15">
        <f>SUMIFS(Monatsexporte[Saldo],Monatsexporte[Jahr],$B$4,Monatsexporte[Monat],5,Monatsexporte[Konto],B28)</f>
        <v>18000</v>
      </c>
      <c r="U28" s="15">
        <f>SUMIFS(Monatsexporte[Saldo],Monatsexporte[Jahr],$B$5,Monatsexporte[Monat],5,Monatsexporte[Konto],B28)</f>
        <v>0</v>
      </c>
      <c r="V28" s="22">
        <f t="shared" si="6"/>
        <v>0</v>
      </c>
      <c r="W28" s="15">
        <f>SUMIFS(Monatsexporte[Saldo],Monatsexporte[Jahr],$B$4,Monatsexporte[Monat],6,Monatsexporte[Konto],B28)</f>
        <v>0</v>
      </c>
      <c r="X28" s="15">
        <f>SUMIFS(Monatsexporte[Saldo],Monatsexporte[Jahr],$B$5,Monatsexporte[Monat],6,Monatsexporte[Konto],B28)</f>
        <v>0</v>
      </c>
      <c r="Y28" s="22">
        <f t="shared" si="7"/>
        <v>0</v>
      </c>
      <c r="Z28" s="15">
        <f>SUMIFS(Monatsexporte[Saldo],Monatsexporte[Jahr],$B$4,Monatsexporte[Monat],7,Monatsexporte[Konto],B28)</f>
        <v>0</v>
      </c>
      <c r="AA28" s="15">
        <f>SUMIFS(Monatsexporte[Saldo],Monatsexporte[Jahr],$B$5,Monatsexporte[Monat],7,Monatsexporte[Konto],B28)</f>
        <v>0</v>
      </c>
      <c r="AB28" s="22">
        <f t="shared" si="8"/>
        <v>0</v>
      </c>
      <c r="AC28" s="15">
        <f>SUMIFS(Monatsexporte[Saldo],Monatsexporte[Jahr],$B$4,Monatsexporte[Monat],8,Monatsexporte[Konto],B28)</f>
        <v>0</v>
      </c>
      <c r="AD28" s="15">
        <f>SUMIFS(Monatsexporte[Saldo],Monatsexporte[Jahr],$B$5,Monatsexporte[Monat],8,Monatsexporte[Konto],B28)</f>
        <v>0</v>
      </c>
      <c r="AE28" s="22">
        <f t="shared" si="9"/>
        <v>0</v>
      </c>
      <c r="AF28" s="15">
        <f>SUMIFS(Monatsexporte[Saldo],Monatsexporte[Jahr],$B$4,Monatsexporte[Monat],9,Monatsexporte[Konto],B28)</f>
        <v>0</v>
      </c>
      <c r="AG28" s="15">
        <f>SUMIFS(Monatsexporte[Saldo],Monatsexporte[Jahr],$B$5,Monatsexporte[Monat],9,Monatsexporte[Konto],B28)</f>
        <v>0</v>
      </c>
      <c r="AH28" s="22">
        <f t="shared" si="10"/>
        <v>0</v>
      </c>
      <c r="AI28" s="15">
        <f>SUMIFS(Monatsexporte[Saldo],Monatsexporte[Jahr],$B$4,Monatsexporte[Monat],10,Monatsexporte[Konto],B28)</f>
        <v>0</v>
      </c>
      <c r="AJ28" s="15">
        <f>SUMIFS(Monatsexporte[Saldo],Monatsexporte[Jahr],$B$5,Monatsexporte[Monat],10,Monatsexporte[Konto],B28)</f>
        <v>0</v>
      </c>
      <c r="AK28" s="22">
        <f t="shared" si="11"/>
        <v>0</v>
      </c>
      <c r="AL28" s="15">
        <f>SUMIFS(Monatsexporte[Saldo],Monatsexporte[Jahr],$B$4,Monatsexporte[Monat],11,Monatsexporte[Konto],B28)</f>
        <v>0</v>
      </c>
      <c r="AM28" s="15">
        <f>SUMIFS(Monatsexporte[Saldo],Monatsexporte[Jahr],$B$5,Monatsexporte[Monat],11,Monatsexporte[Konto],B28)</f>
        <v>0</v>
      </c>
      <c r="AN28" s="22">
        <f t="shared" si="12"/>
        <v>0</v>
      </c>
      <c r="AO28" s="15">
        <f>SUMIFS(Monatsexporte[Saldo],Monatsexporte[Jahr],$B$4,Monatsexporte[Monat],12,Monatsexporte[Konto],B28)</f>
        <v>0</v>
      </c>
      <c r="AP28" s="15">
        <f>SUMIFS(Monatsexporte[Saldo],Monatsexporte[Jahr],$B$5,Monatsexporte[Monat],12,Monatsexporte[Konto],B28)</f>
        <v>0</v>
      </c>
      <c r="AQ28" s="22">
        <f t="shared" si="13"/>
        <v>0</v>
      </c>
    </row>
    <row r="29" spans="1:43" hidden="1" outlineLevel="1" x14ac:dyDescent="0.45">
      <c r="A29" s="10" t="s">
        <v>418</v>
      </c>
      <c r="B29" s="39">
        <v>6401557</v>
      </c>
      <c r="C29" s="15">
        <v>90000</v>
      </c>
      <c r="D29" s="15">
        <f ca="1">SUMIFS(Monatsexporte[Saldo],Monatsexporte[Jahr],$B$4,Monatsexporte[Monat],"&lt;="&amp;$B$8,Monatsexporte[Konto],B29)</f>
        <v>270000</v>
      </c>
      <c r="E29" s="15">
        <f ca="1">SUMIFS(Monatsexporte[Saldo],Monatsexporte[Jahr],$B$5,Monatsexporte[Monat],"&lt;="&amp;$B$8,Monatsexporte[Konto],B29)</f>
        <v>0</v>
      </c>
      <c r="F29" s="15">
        <f t="shared" ca="1" si="0"/>
        <v>270000</v>
      </c>
      <c r="G29" s="22">
        <f t="shared" ca="1" si="1"/>
        <v>0</v>
      </c>
      <c r="H29" s="15">
        <f>SUMIFS(Monatsexporte[Saldo],Monatsexporte[Jahr],$B$4,Monatsexporte[Monat],1,Monatsexporte[Konto],B29)</f>
        <v>0</v>
      </c>
      <c r="I29" s="15">
        <f>SUMIFS(Monatsexporte[Saldo],Monatsexporte[Jahr],$B$5,Monatsexporte[Monat],1,Monatsexporte[Konto],B29)</f>
        <v>0</v>
      </c>
      <c r="J29" s="22">
        <f t="shared" si="2"/>
        <v>0</v>
      </c>
      <c r="K29" s="15">
        <f>SUMIFS(Monatsexporte[Saldo],Monatsexporte[Jahr],$B$4,Monatsexporte[Monat],2,Monatsexporte[Konto],B29)</f>
        <v>0</v>
      </c>
      <c r="L29" s="15">
        <f>SUMIFS(Monatsexporte[Saldo],Monatsexporte[Jahr],$B$5,Monatsexporte[Monat],2,Monatsexporte[Konto],B29)</f>
        <v>0</v>
      </c>
      <c r="M29" s="22">
        <f t="shared" si="3"/>
        <v>0</v>
      </c>
      <c r="N29" s="15">
        <f>SUMIFS(Monatsexporte[Saldo],Monatsexporte[Jahr],$B$4,Monatsexporte[Monat],3,Monatsexporte[Konto],B29)</f>
        <v>90000</v>
      </c>
      <c r="O29" s="15">
        <f>SUMIFS(Monatsexporte[Saldo],Monatsexporte[Jahr],$B$5,Monatsexporte[Monat],3,Monatsexporte[Konto],B29)</f>
        <v>0</v>
      </c>
      <c r="P29" s="22">
        <f t="shared" si="4"/>
        <v>0</v>
      </c>
      <c r="Q29" s="15">
        <f>SUMIFS(Monatsexporte[Saldo],Monatsexporte[Jahr],$B$4,Monatsexporte[Monat],4,Monatsexporte[Konto],B29)</f>
        <v>90000</v>
      </c>
      <c r="R29" s="15">
        <f>SUMIFS(Monatsexporte[Saldo],Monatsexporte[Jahr],$B$5,Monatsexporte[Monat],4,Monatsexporte[Konto],B29)</f>
        <v>0</v>
      </c>
      <c r="S29" s="22">
        <f t="shared" si="5"/>
        <v>0</v>
      </c>
      <c r="T29" s="15">
        <f>SUMIFS(Monatsexporte[Saldo],Monatsexporte[Jahr],$B$4,Monatsexporte[Monat],5,Monatsexporte[Konto],B29)</f>
        <v>90000</v>
      </c>
      <c r="U29" s="15">
        <f>SUMIFS(Monatsexporte[Saldo],Monatsexporte[Jahr],$B$5,Monatsexporte[Monat],5,Monatsexporte[Konto],B29)</f>
        <v>0</v>
      </c>
      <c r="V29" s="22">
        <f t="shared" si="6"/>
        <v>0</v>
      </c>
      <c r="W29" s="15">
        <f>SUMIFS(Monatsexporte[Saldo],Monatsexporte[Jahr],$B$4,Monatsexporte[Monat],6,Monatsexporte[Konto],B29)</f>
        <v>0</v>
      </c>
      <c r="X29" s="15">
        <f>SUMIFS(Monatsexporte[Saldo],Monatsexporte[Jahr],$B$5,Monatsexporte[Monat],6,Monatsexporte[Konto],B29)</f>
        <v>0</v>
      </c>
      <c r="Y29" s="22">
        <f t="shared" si="7"/>
        <v>0</v>
      </c>
      <c r="Z29" s="15">
        <f>SUMIFS(Monatsexporte[Saldo],Monatsexporte[Jahr],$B$4,Monatsexporte[Monat],7,Monatsexporte[Konto],B29)</f>
        <v>0</v>
      </c>
      <c r="AA29" s="15">
        <f>SUMIFS(Monatsexporte[Saldo],Monatsexporte[Jahr],$B$5,Monatsexporte[Monat],7,Monatsexporte[Konto],B29)</f>
        <v>0</v>
      </c>
      <c r="AB29" s="22">
        <f t="shared" si="8"/>
        <v>0</v>
      </c>
      <c r="AC29" s="15">
        <f>SUMIFS(Monatsexporte[Saldo],Monatsexporte[Jahr],$B$4,Monatsexporte[Monat],8,Monatsexporte[Konto],B29)</f>
        <v>0</v>
      </c>
      <c r="AD29" s="15">
        <f>SUMIFS(Monatsexporte[Saldo],Monatsexporte[Jahr],$B$5,Monatsexporte[Monat],8,Monatsexporte[Konto],B29)</f>
        <v>0</v>
      </c>
      <c r="AE29" s="22">
        <f t="shared" si="9"/>
        <v>0</v>
      </c>
      <c r="AF29" s="15">
        <f>SUMIFS(Monatsexporte[Saldo],Monatsexporte[Jahr],$B$4,Monatsexporte[Monat],9,Monatsexporte[Konto],B29)</f>
        <v>0</v>
      </c>
      <c r="AG29" s="15">
        <f>SUMIFS(Monatsexporte[Saldo],Monatsexporte[Jahr],$B$5,Monatsexporte[Monat],9,Monatsexporte[Konto],B29)</f>
        <v>0</v>
      </c>
      <c r="AH29" s="22">
        <f t="shared" si="10"/>
        <v>0</v>
      </c>
      <c r="AI29" s="15">
        <f>SUMIFS(Monatsexporte[Saldo],Monatsexporte[Jahr],$B$4,Monatsexporte[Monat],10,Monatsexporte[Konto],B29)</f>
        <v>0</v>
      </c>
      <c r="AJ29" s="15">
        <f>SUMIFS(Monatsexporte[Saldo],Monatsexporte[Jahr],$B$5,Monatsexporte[Monat],10,Monatsexporte[Konto],B29)</f>
        <v>0</v>
      </c>
      <c r="AK29" s="22">
        <f t="shared" si="11"/>
        <v>0</v>
      </c>
      <c r="AL29" s="15">
        <f>SUMIFS(Monatsexporte[Saldo],Monatsexporte[Jahr],$B$4,Monatsexporte[Monat],11,Monatsexporte[Konto],B29)</f>
        <v>0</v>
      </c>
      <c r="AM29" s="15">
        <f>SUMIFS(Monatsexporte[Saldo],Monatsexporte[Jahr],$B$5,Monatsexporte[Monat],11,Monatsexporte[Konto],B29)</f>
        <v>0</v>
      </c>
      <c r="AN29" s="22">
        <f t="shared" si="12"/>
        <v>0</v>
      </c>
      <c r="AO29" s="15">
        <f>SUMIFS(Monatsexporte[Saldo],Monatsexporte[Jahr],$B$4,Monatsexporte[Monat],12,Monatsexporte[Konto],B29)</f>
        <v>0</v>
      </c>
      <c r="AP29" s="15">
        <f>SUMIFS(Monatsexporte[Saldo],Monatsexporte[Jahr],$B$5,Monatsexporte[Monat],12,Monatsexporte[Konto],B29)</f>
        <v>0</v>
      </c>
      <c r="AQ29" s="22">
        <f t="shared" si="13"/>
        <v>0</v>
      </c>
    </row>
    <row r="30" spans="1:43" hidden="1" outlineLevel="1" x14ac:dyDescent="0.45">
      <c r="A30" s="10" t="s">
        <v>419</v>
      </c>
      <c r="B30" s="39">
        <v>6401564</v>
      </c>
      <c r="C30" s="15">
        <v>4780</v>
      </c>
      <c r="D30" s="15">
        <f ca="1">SUMIFS(Monatsexporte[Saldo],Monatsexporte[Jahr],$B$4,Monatsexporte[Monat],"&lt;="&amp;$B$8,Monatsexporte[Konto],B30)</f>
        <v>14340</v>
      </c>
      <c r="E30" s="15">
        <f ca="1">SUMIFS(Monatsexporte[Saldo],Monatsexporte[Jahr],$B$5,Monatsexporte[Monat],"&lt;="&amp;$B$8,Monatsexporte[Konto],B30)</f>
        <v>0</v>
      </c>
      <c r="F30" s="15">
        <f t="shared" ca="1" si="0"/>
        <v>14340</v>
      </c>
      <c r="G30" s="22">
        <f t="shared" ca="1" si="1"/>
        <v>0</v>
      </c>
      <c r="H30" s="15">
        <f>SUMIFS(Monatsexporte[Saldo],Monatsexporte[Jahr],$B$4,Monatsexporte[Monat],1,Monatsexporte[Konto],B30)</f>
        <v>0</v>
      </c>
      <c r="I30" s="15">
        <f>SUMIFS(Monatsexporte[Saldo],Monatsexporte[Jahr],$B$5,Monatsexporte[Monat],1,Monatsexporte[Konto],B30)</f>
        <v>0</v>
      </c>
      <c r="J30" s="22">
        <f t="shared" si="2"/>
        <v>0</v>
      </c>
      <c r="K30" s="15">
        <f>SUMIFS(Monatsexporte[Saldo],Monatsexporte[Jahr],$B$4,Monatsexporte[Monat],2,Monatsexporte[Konto],B30)</f>
        <v>0</v>
      </c>
      <c r="L30" s="15">
        <f>SUMIFS(Monatsexporte[Saldo],Monatsexporte[Jahr],$B$5,Monatsexporte[Monat],2,Monatsexporte[Konto],B30)</f>
        <v>0</v>
      </c>
      <c r="M30" s="22">
        <f t="shared" si="3"/>
        <v>0</v>
      </c>
      <c r="N30" s="15">
        <f>SUMIFS(Monatsexporte[Saldo],Monatsexporte[Jahr],$B$4,Monatsexporte[Monat],3,Monatsexporte[Konto],B30)</f>
        <v>4780</v>
      </c>
      <c r="O30" s="15">
        <f>SUMIFS(Monatsexporte[Saldo],Monatsexporte[Jahr],$B$5,Monatsexporte[Monat],3,Monatsexporte[Konto],B30)</f>
        <v>0</v>
      </c>
      <c r="P30" s="22">
        <f t="shared" si="4"/>
        <v>0</v>
      </c>
      <c r="Q30" s="15">
        <f>SUMIFS(Monatsexporte[Saldo],Monatsexporte[Jahr],$B$4,Monatsexporte[Monat],4,Monatsexporte[Konto],B30)</f>
        <v>4780</v>
      </c>
      <c r="R30" s="15">
        <f>SUMIFS(Monatsexporte[Saldo],Monatsexporte[Jahr],$B$5,Monatsexporte[Monat],4,Monatsexporte[Konto],B30)</f>
        <v>0</v>
      </c>
      <c r="S30" s="22">
        <f t="shared" si="5"/>
        <v>0</v>
      </c>
      <c r="T30" s="15">
        <f>SUMIFS(Monatsexporte[Saldo],Monatsexporte[Jahr],$B$4,Monatsexporte[Monat],5,Monatsexporte[Konto],B30)</f>
        <v>4780</v>
      </c>
      <c r="U30" s="15">
        <f>SUMIFS(Monatsexporte[Saldo],Monatsexporte[Jahr],$B$5,Monatsexporte[Monat],5,Monatsexporte[Konto],B30)</f>
        <v>0</v>
      </c>
      <c r="V30" s="22">
        <f t="shared" si="6"/>
        <v>0</v>
      </c>
      <c r="W30" s="15">
        <f>SUMIFS(Monatsexporte[Saldo],Monatsexporte[Jahr],$B$4,Monatsexporte[Monat],6,Monatsexporte[Konto],B30)</f>
        <v>0</v>
      </c>
      <c r="X30" s="15">
        <f>SUMIFS(Monatsexporte[Saldo],Monatsexporte[Jahr],$B$5,Monatsexporte[Monat],6,Monatsexporte[Konto],B30)</f>
        <v>0</v>
      </c>
      <c r="Y30" s="22">
        <f t="shared" si="7"/>
        <v>0</v>
      </c>
      <c r="Z30" s="15">
        <f>SUMIFS(Monatsexporte[Saldo],Monatsexporte[Jahr],$B$4,Monatsexporte[Monat],7,Monatsexporte[Konto],B30)</f>
        <v>0</v>
      </c>
      <c r="AA30" s="15">
        <f>SUMIFS(Monatsexporte[Saldo],Monatsexporte[Jahr],$B$5,Monatsexporte[Monat],7,Monatsexporte[Konto],B30)</f>
        <v>0</v>
      </c>
      <c r="AB30" s="22">
        <f t="shared" si="8"/>
        <v>0</v>
      </c>
      <c r="AC30" s="15">
        <f>SUMIFS(Monatsexporte[Saldo],Monatsexporte[Jahr],$B$4,Monatsexporte[Monat],8,Monatsexporte[Konto],B30)</f>
        <v>0</v>
      </c>
      <c r="AD30" s="15">
        <f>SUMIFS(Monatsexporte[Saldo],Monatsexporte[Jahr],$B$5,Monatsexporte[Monat],8,Monatsexporte[Konto],B30)</f>
        <v>0</v>
      </c>
      <c r="AE30" s="22">
        <f t="shared" si="9"/>
        <v>0</v>
      </c>
      <c r="AF30" s="15">
        <f>SUMIFS(Monatsexporte[Saldo],Monatsexporte[Jahr],$B$4,Monatsexporte[Monat],9,Monatsexporte[Konto],B30)</f>
        <v>0</v>
      </c>
      <c r="AG30" s="15">
        <f>SUMIFS(Monatsexporte[Saldo],Monatsexporte[Jahr],$B$5,Monatsexporte[Monat],9,Monatsexporte[Konto],B30)</f>
        <v>0</v>
      </c>
      <c r="AH30" s="22">
        <f t="shared" si="10"/>
        <v>0</v>
      </c>
      <c r="AI30" s="15">
        <f>SUMIFS(Monatsexporte[Saldo],Monatsexporte[Jahr],$B$4,Monatsexporte[Monat],10,Monatsexporte[Konto],B30)</f>
        <v>0</v>
      </c>
      <c r="AJ30" s="15">
        <f>SUMIFS(Monatsexporte[Saldo],Monatsexporte[Jahr],$B$5,Monatsexporte[Monat],10,Monatsexporte[Konto],B30)</f>
        <v>0</v>
      </c>
      <c r="AK30" s="22">
        <f t="shared" si="11"/>
        <v>0</v>
      </c>
      <c r="AL30" s="15">
        <f>SUMIFS(Monatsexporte[Saldo],Monatsexporte[Jahr],$B$4,Monatsexporte[Monat],11,Monatsexporte[Konto],B30)</f>
        <v>0</v>
      </c>
      <c r="AM30" s="15">
        <f>SUMIFS(Monatsexporte[Saldo],Monatsexporte[Jahr],$B$5,Monatsexporte[Monat],11,Monatsexporte[Konto],B30)</f>
        <v>0</v>
      </c>
      <c r="AN30" s="22">
        <f t="shared" si="12"/>
        <v>0</v>
      </c>
      <c r="AO30" s="15">
        <f>SUMIFS(Monatsexporte[Saldo],Monatsexporte[Jahr],$B$4,Monatsexporte[Monat],12,Monatsexporte[Konto],B30)</f>
        <v>0</v>
      </c>
      <c r="AP30" s="15">
        <f>SUMIFS(Monatsexporte[Saldo],Monatsexporte[Jahr],$B$5,Monatsexporte[Monat],12,Monatsexporte[Konto],B30)</f>
        <v>0</v>
      </c>
      <c r="AQ30" s="22">
        <f t="shared" si="13"/>
        <v>0</v>
      </c>
    </row>
    <row r="31" spans="1:43" hidden="1" outlineLevel="1" x14ac:dyDescent="0.45">
      <c r="A31" s="10" t="s">
        <v>420</v>
      </c>
      <c r="B31" s="39">
        <v>6401565</v>
      </c>
      <c r="C31" s="15">
        <v>255000</v>
      </c>
      <c r="D31" s="15">
        <f ca="1">SUMIFS(Monatsexporte[Saldo],Monatsexporte[Jahr],$B$4,Monatsexporte[Monat],"&lt;="&amp;$B$8,Monatsexporte[Konto],B31)</f>
        <v>765000</v>
      </c>
      <c r="E31" s="15">
        <f ca="1">SUMIFS(Monatsexporte[Saldo],Monatsexporte[Jahr],$B$5,Monatsexporte[Monat],"&lt;="&amp;$B$8,Monatsexporte[Konto],B31)</f>
        <v>0</v>
      </c>
      <c r="F31" s="15">
        <f t="shared" ca="1" si="0"/>
        <v>765000</v>
      </c>
      <c r="G31" s="22">
        <f t="shared" ca="1" si="1"/>
        <v>0</v>
      </c>
      <c r="H31" s="15">
        <f>SUMIFS(Monatsexporte[Saldo],Monatsexporte[Jahr],$B$4,Monatsexporte[Monat],1,Monatsexporte[Konto],B31)</f>
        <v>0</v>
      </c>
      <c r="I31" s="15">
        <f>SUMIFS(Monatsexporte[Saldo],Monatsexporte[Jahr],$B$5,Monatsexporte[Monat],1,Monatsexporte[Konto],B31)</f>
        <v>0</v>
      </c>
      <c r="J31" s="22">
        <f t="shared" si="2"/>
        <v>0</v>
      </c>
      <c r="K31" s="15">
        <f>SUMIFS(Monatsexporte[Saldo],Monatsexporte[Jahr],$B$4,Monatsexporte[Monat],2,Monatsexporte[Konto],B31)</f>
        <v>0</v>
      </c>
      <c r="L31" s="15">
        <f>SUMIFS(Monatsexporte[Saldo],Monatsexporte[Jahr],$B$5,Monatsexporte[Monat],2,Monatsexporte[Konto],B31)</f>
        <v>0</v>
      </c>
      <c r="M31" s="22">
        <f t="shared" si="3"/>
        <v>0</v>
      </c>
      <c r="N31" s="15">
        <f>SUMIFS(Monatsexporte[Saldo],Monatsexporte[Jahr],$B$4,Monatsexporte[Monat],3,Monatsexporte[Konto],B31)</f>
        <v>255000</v>
      </c>
      <c r="O31" s="15">
        <f>SUMIFS(Monatsexporte[Saldo],Monatsexporte[Jahr],$B$5,Monatsexporte[Monat],3,Monatsexporte[Konto],B31)</f>
        <v>0</v>
      </c>
      <c r="P31" s="22">
        <f t="shared" si="4"/>
        <v>0</v>
      </c>
      <c r="Q31" s="15">
        <f>SUMIFS(Monatsexporte[Saldo],Monatsexporte[Jahr],$B$4,Monatsexporte[Monat],4,Monatsexporte[Konto],B31)</f>
        <v>255000</v>
      </c>
      <c r="R31" s="15">
        <f>SUMIFS(Monatsexporte[Saldo],Monatsexporte[Jahr],$B$5,Monatsexporte[Monat],4,Monatsexporte[Konto],B31)</f>
        <v>0</v>
      </c>
      <c r="S31" s="22">
        <f t="shared" si="5"/>
        <v>0</v>
      </c>
      <c r="T31" s="15">
        <f>SUMIFS(Monatsexporte[Saldo],Monatsexporte[Jahr],$B$4,Monatsexporte[Monat],5,Monatsexporte[Konto],B31)</f>
        <v>255000</v>
      </c>
      <c r="U31" s="15">
        <f>SUMIFS(Monatsexporte[Saldo],Monatsexporte[Jahr],$B$5,Monatsexporte[Monat],5,Monatsexporte[Konto],B31)</f>
        <v>0</v>
      </c>
      <c r="V31" s="22">
        <f t="shared" si="6"/>
        <v>0</v>
      </c>
      <c r="W31" s="15">
        <f>SUMIFS(Monatsexporte[Saldo],Monatsexporte[Jahr],$B$4,Monatsexporte[Monat],6,Monatsexporte[Konto],B31)</f>
        <v>0</v>
      </c>
      <c r="X31" s="15">
        <f>SUMIFS(Monatsexporte[Saldo],Monatsexporte[Jahr],$B$5,Monatsexporte[Monat],6,Monatsexporte[Konto],B31)</f>
        <v>0</v>
      </c>
      <c r="Y31" s="22">
        <f t="shared" si="7"/>
        <v>0</v>
      </c>
      <c r="Z31" s="15">
        <f>SUMIFS(Monatsexporte[Saldo],Monatsexporte[Jahr],$B$4,Monatsexporte[Monat],7,Monatsexporte[Konto],B31)</f>
        <v>0</v>
      </c>
      <c r="AA31" s="15">
        <f>SUMIFS(Monatsexporte[Saldo],Monatsexporte[Jahr],$B$5,Monatsexporte[Monat],7,Monatsexporte[Konto],B31)</f>
        <v>0</v>
      </c>
      <c r="AB31" s="22">
        <f t="shared" si="8"/>
        <v>0</v>
      </c>
      <c r="AC31" s="15">
        <f>SUMIFS(Monatsexporte[Saldo],Monatsexporte[Jahr],$B$4,Monatsexporte[Monat],8,Monatsexporte[Konto],B31)</f>
        <v>0</v>
      </c>
      <c r="AD31" s="15">
        <f>SUMIFS(Monatsexporte[Saldo],Monatsexporte[Jahr],$B$5,Monatsexporte[Monat],8,Monatsexporte[Konto],B31)</f>
        <v>0</v>
      </c>
      <c r="AE31" s="22">
        <f t="shared" si="9"/>
        <v>0</v>
      </c>
      <c r="AF31" s="15">
        <f>SUMIFS(Monatsexporte[Saldo],Monatsexporte[Jahr],$B$4,Monatsexporte[Monat],9,Monatsexporte[Konto],B31)</f>
        <v>0</v>
      </c>
      <c r="AG31" s="15">
        <f>SUMIFS(Monatsexporte[Saldo],Monatsexporte[Jahr],$B$5,Monatsexporte[Monat],9,Monatsexporte[Konto],B31)</f>
        <v>0</v>
      </c>
      <c r="AH31" s="22">
        <f t="shared" si="10"/>
        <v>0</v>
      </c>
      <c r="AI31" s="15">
        <f>SUMIFS(Monatsexporte[Saldo],Monatsexporte[Jahr],$B$4,Monatsexporte[Monat],10,Monatsexporte[Konto],B31)</f>
        <v>0</v>
      </c>
      <c r="AJ31" s="15">
        <f>SUMIFS(Monatsexporte[Saldo],Monatsexporte[Jahr],$B$5,Monatsexporte[Monat],10,Monatsexporte[Konto],B31)</f>
        <v>0</v>
      </c>
      <c r="AK31" s="22">
        <f t="shared" si="11"/>
        <v>0</v>
      </c>
      <c r="AL31" s="15">
        <f>SUMIFS(Monatsexporte[Saldo],Monatsexporte[Jahr],$B$4,Monatsexporte[Monat],11,Monatsexporte[Konto],B31)</f>
        <v>0</v>
      </c>
      <c r="AM31" s="15">
        <f>SUMIFS(Monatsexporte[Saldo],Monatsexporte[Jahr],$B$5,Monatsexporte[Monat],11,Monatsexporte[Konto],B31)</f>
        <v>0</v>
      </c>
      <c r="AN31" s="22">
        <f t="shared" si="12"/>
        <v>0</v>
      </c>
      <c r="AO31" s="15">
        <f>SUMIFS(Monatsexporte[Saldo],Monatsexporte[Jahr],$B$4,Monatsexporte[Monat],12,Monatsexporte[Konto],B31)</f>
        <v>0</v>
      </c>
      <c r="AP31" s="15">
        <f>SUMIFS(Monatsexporte[Saldo],Monatsexporte[Jahr],$B$5,Monatsexporte[Monat],12,Monatsexporte[Konto],B31)</f>
        <v>0</v>
      </c>
      <c r="AQ31" s="22">
        <f t="shared" si="13"/>
        <v>0</v>
      </c>
    </row>
    <row r="32" spans="1:43" hidden="1" outlineLevel="1" x14ac:dyDescent="0.45">
      <c r="A32" s="10" t="s">
        <v>421</v>
      </c>
      <c r="B32" s="39">
        <v>6401750</v>
      </c>
      <c r="C32" s="15">
        <v>303</v>
      </c>
      <c r="D32" s="15">
        <f ca="1">SUMIFS(Monatsexporte[Saldo],Monatsexporte[Jahr],$B$4,Monatsexporte[Monat],"&lt;="&amp;$B$8,Monatsexporte[Konto],B32)</f>
        <v>908.69999999999993</v>
      </c>
      <c r="E32" s="15">
        <f ca="1">SUMIFS(Monatsexporte[Saldo],Monatsexporte[Jahr],$B$5,Monatsexporte[Monat],"&lt;="&amp;$B$8,Monatsexporte[Konto],B32)</f>
        <v>0</v>
      </c>
      <c r="F32" s="15">
        <f t="shared" ca="1" si="0"/>
        <v>908.69999999999993</v>
      </c>
      <c r="G32" s="22">
        <f t="shared" ca="1" si="1"/>
        <v>0</v>
      </c>
      <c r="H32" s="15">
        <f>SUMIFS(Monatsexporte[Saldo],Monatsexporte[Jahr],$B$4,Monatsexporte[Monat],1,Monatsexporte[Konto],B32)</f>
        <v>0</v>
      </c>
      <c r="I32" s="15">
        <f>SUMIFS(Monatsexporte[Saldo],Monatsexporte[Jahr],$B$5,Monatsexporte[Monat],1,Monatsexporte[Konto],B32)</f>
        <v>0</v>
      </c>
      <c r="J32" s="22">
        <f t="shared" si="2"/>
        <v>0</v>
      </c>
      <c r="K32" s="15">
        <f>SUMIFS(Monatsexporte[Saldo],Monatsexporte[Jahr],$B$4,Monatsexporte[Monat],2,Monatsexporte[Konto],B32)</f>
        <v>0</v>
      </c>
      <c r="L32" s="15">
        <f>SUMIFS(Monatsexporte[Saldo],Monatsexporte[Jahr],$B$5,Monatsexporte[Monat],2,Monatsexporte[Konto],B32)</f>
        <v>0</v>
      </c>
      <c r="M32" s="22">
        <f t="shared" si="3"/>
        <v>0</v>
      </c>
      <c r="N32" s="15">
        <f>SUMIFS(Monatsexporte[Saldo],Monatsexporte[Jahr],$B$4,Monatsexporte[Monat],3,Monatsexporte[Konto],B32)</f>
        <v>302.89999999999998</v>
      </c>
      <c r="O32" s="15">
        <f>SUMIFS(Monatsexporte[Saldo],Monatsexporte[Jahr],$B$5,Monatsexporte[Monat],3,Monatsexporte[Konto],B32)</f>
        <v>0</v>
      </c>
      <c r="P32" s="22">
        <f t="shared" si="4"/>
        <v>0</v>
      </c>
      <c r="Q32" s="15">
        <f>SUMIFS(Monatsexporte[Saldo],Monatsexporte[Jahr],$B$4,Monatsexporte[Monat],4,Monatsexporte[Konto],B32)</f>
        <v>302.89999999999998</v>
      </c>
      <c r="R32" s="15">
        <f>SUMIFS(Monatsexporte[Saldo],Monatsexporte[Jahr],$B$5,Monatsexporte[Monat],4,Monatsexporte[Konto],B32)</f>
        <v>0</v>
      </c>
      <c r="S32" s="22">
        <f t="shared" si="5"/>
        <v>0</v>
      </c>
      <c r="T32" s="15">
        <f>SUMIFS(Monatsexporte[Saldo],Monatsexporte[Jahr],$B$4,Monatsexporte[Monat],5,Monatsexporte[Konto],B32)</f>
        <v>302.89999999999998</v>
      </c>
      <c r="U32" s="15">
        <f>SUMIFS(Monatsexporte[Saldo],Monatsexporte[Jahr],$B$5,Monatsexporte[Monat],5,Monatsexporte[Konto],B32)</f>
        <v>0</v>
      </c>
      <c r="V32" s="22">
        <f t="shared" si="6"/>
        <v>0</v>
      </c>
      <c r="W32" s="15">
        <f>SUMIFS(Monatsexporte[Saldo],Monatsexporte[Jahr],$B$4,Monatsexporte[Monat],6,Monatsexporte[Konto],B32)</f>
        <v>0</v>
      </c>
      <c r="X32" s="15">
        <f>SUMIFS(Monatsexporte[Saldo],Monatsexporte[Jahr],$B$5,Monatsexporte[Monat],6,Monatsexporte[Konto],B32)</f>
        <v>0</v>
      </c>
      <c r="Y32" s="22">
        <f t="shared" si="7"/>
        <v>0</v>
      </c>
      <c r="Z32" s="15">
        <f>SUMIFS(Monatsexporte[Saldo],Monatsexporte[Jahr],$B$4,Monatsexporte[Monat],7,Monatsexporte[Konto],B32)</f>
        <v>0</v>
      </c>
      <c r="AA32" s="15">
        <f>SUMIFS(Monatsexporte[Saldo],Monatsexporte[Jahr],$B$5,Monatsexporte[Monat],7,Monatsexporte[Konto],B32)</f>
        <v>0</v>
      </c>
      <c r="AB32" s="22">
        <f t="shared" si="8"/>
        <v>0</v>
      </c>
      <c r="AC32" s="15">
        <f>SUMIFS(Monatsexporte[Saldo],Monatsexporte[Jahr],$B$4,Monatsexporte[Monat],8,Monatsexporte[Konto],B32)</f>
        <v>0</v>
      </c>
      <c r="AD32" s="15">
        <f>SUMIFS(Monatsexporte[Saldo],Monatsexporte[Jahr],$B$5,Monatsexporte[Monat],8,Monatsexporte[Konto],B32)</f>
        <v>0</v>
      </c>
      <c r="AE32" s="22">
        <f t="shared" si="9"/>
        <v>0</v>
      </c>
      <c r="AF32" s="15">
        <f>SUMIFS(Monatsexporte[Saldo],Monatsexporte[Jahr],$B$4,Monatsexporte[Monat],9,Monatsexporte[Konto],B32)</f>
        <v>0</v>
      </c>
      <c r="AG32" s="15">
        <f>SUMIFS(Monatsexporte[Saldo],Monatsexporte[Jahr],$B$5,Monatsexporte[Monat],9,Monatsexporte[Konto],B32)</f>
        <v>0</v>
      </c>
      <c r="AH32" s="22">
        <f t="shared" si="10"/>
        <v>0</v>
      </c>
      <c r="AI32" s="15">
        <f>SUMIFS(Monatsexporte[Saldo],Monatsexporte[Jahr],$B$4,Monatsexporte[Monat],10,Monatsexporte[Konto],B32)</f>
        <v>0</v>
      </c>
      <c r="AJ32" s="15">
        <f>SUMIFS(Monatsexporte[Saldo],Monatsexporte[Jahr],$B$5,Monatsexporte[Monat],10,Monatsexporte[Konto],B32)</f>
        <v>0</v>
      </c>
      <c r="AK32" s="22">
        <f t="shared" si="11"/>
        <v>0</v>
      </c>
      <c r="AL32" s="15">
        <f>SUMIFS(Monatsexporte[Saldo],Monatsexporte[Jahr],$B$4,Monatsexporte[Monat],11,Monatsexporte[Konto],B32)</f>
        <v>0</v>
      </c>
      <c r="AM32" s="15">
        <f>SUMIFS(Monatsexporte[Saldo],Monatsexporte[Jahr],$B$5,Monatsexporte[Monat],11,Monatsexporte[Konto],B32)</f>
        <v>0</v>
      </c>
      <c r="AN32" s="22">
        <f t="shared" si="12"/>
        <v>0</v>
      </c>
      <c r="AO32" s="15">
        <f>SUMIFS(Monatsexporte[Saldo],Monatsexporte[Jahr],$B$4,Monatsexporte[Monat],12,Monatsexporte[Konto],B32)</f>
        <v>0</v>
      </c>
      <c r="AP32" s="15">
        <f>SUMIFS(Monatsexporte[Saldo],Monatsexporte[Jahr],$B$5,Monatsexporte[Monat],12,Monatsexporte[Konto],B32)</f>
        <v>0</v>
      </c>
      <c r="AQ32" s="22">
        <f t="shared" si="13"/>
        <v>0</v>
      </c>
    </row>
    <row r="33" spans="1:43" collapsed="1" x14ac:dyDescent="0.45">
      <c r="A33" s="1" t="s">
        <v>411</v>
      </c>
      <c r="B33" s="39" t="s">
        <v>412</v>
      </c>
      <c r="C33" s="15">
        <f>SUM(C24:C32)</f>
        <v>851072</v>
      </c>
      <c r="D33" s="15">
        <f ca="1">SUM(D24:D32)</f>
        <v>2553214.92</v>
      </c>
      <c r="E33" s="15">
        <f ca="1">SUM(E24:E32)</f>
        <v>0</v>
      </c>
      <c r="F33" s="15">
        <f t="shared" ca="1" si="0"/>
        <v>2553214.92</v>
      </c>
      <c r="G33" s="22">
        <f t="shared" ca="1" si="1"/>
        <v>0</v>
      </c>
      <c r="H33" s="15">
        <f>SUM(H24:H32)</f>
        <v>0</v>
      </c>
      <c r="I33" s="15">
        <f>SUM(I24:I32)</f>
        <v>0</v>
      </c>
      <c r="J33" s="22">
        <f t="shared" si="2"/>
        <v>0</v>
      </c>
      <c r="K33" s="15">
        <f>SUM(K24:K32)</f>
        <v>0</v>
      </c>
      <c r="L33" s="15">
        <f>SUM(L24:L32)</f>
        <v>0</v>
      </c>
      <c r="M33" s="22">
        <f t="shared" si="3"/>
        <v>0</v>
      </c>
      <c r="N33" s="15">
        <f>SUM(N24:N32)</f>
        <v>851071.64</v>
      </c>
      <c r="O33" s="15">
        <f>SUM(O24:O32)</f>
        <v>0</v>
      </c>
      <c r="P33" s="22">
        <f t="shared" si="4"/>
        <v>0</v>
      </c>
      <c r="Q33" s="15">
        <f>SUM(Q24:Q32)</f>
        <v>851071.64</v>
      </c>
      <c r="R33" s="15">
        <f>SUM(R24:R32)</f>
        <v>0</v>
      </c>
      <c r="S33" s="22">
        <f t="shared" si="5"/>
        <v>0</v>
      </c>
      <c r="T33" s="15">
        <f>SUM(T24:T32)</f>
        <v>851071.64</v>
      </c>
      <c r="U33" s="15">
        <f>SUM(U24:U32)</f>
        <v>0</v>
      </c>
      <c r="V33" s="22">
        <f t="shared" si="6"/>
        <v>0</v>
      </c>
      <c r="W33" s="15">
        <f>SUM(W24:W32)</f>
        <v>0</v>
      </c>
      <c r="X33" s="15">
        <f>SUM(X24:X32)</f>
        <v>0</v>
      </c>
      <c r="Y33" s="22">
        <f t="shared" si="7"/>
        <v>0</v>
      </c>
      <c r="Z33" s="15">
        <f>SUM(Z24:Z32)</f>
        <v>0</v>
      </c>
      <c r="AA33" s="15">
        <f>SUM(AA24:AA32)</f>
        <v>0</v>
      </c>
      <c r="AB33" s="22">
        <f t="shared" si="8"/>
        <v>0</v>
      </c>
      <c r="AC33" s="15">
        <f>SUM(AC24:AC32)</f>
        <v>0</v>
      </c>
      <c r="AD33" s="15">
        <f>SUM(AD24:AD32)</f>
        <v>0</v>
      </c>
      <c r="AE33" s="22">
        <f t="shared" si="9"/>
        <v>0</v>
      </c>
      <c r="AF33" s="15">
        <f>SUM(AF24:AF32)</f>
        <v>0</v>
      </c>
      <c r="AG33" s="15">
        <f>SUM(AG24:AG32)</f>
        <v>0</v>
      </c>
      <c r="AH33" s="22">
        <f t="shared" si="10"/>
        <v>0</v>
      </c>
      <c r="AI33" s="15">
        <f>SUM(AI24:AI32)</f>
        <v>0</v>
      </c>
      <c r="AJ33" s="15">
        <f>SUM(AJ24:AJ32)</f>
        <v>0</v>
      </c>
      <c r="AK33" s="22">
        <f t="shared" si="11"/>
        <v>0</v>
      </c>
      <c r="AL33" s="15">
        <f>SUM(AL24:AL32)</f>
        <v>0</v>
      </c>
      <c r="AM33" s="15">
        <f>SUM(AM24:AM32)</f>
        <v>0</v>
      </c>
      <c r="AN33" s="22">
        <f t="shared" si="12"/>
        <v>0</v>
      </c>
      <c r="AO33" s="15">
        <f>SUM(AO24:AO32)</f>
        <v>0</v>
      </c>
      <c r="AP33" s="15">
        <f>SUM(AP24:AP32)</f>
        <v>0</v>
      </c>
      <c r="AQ33" s="22">
        <f t="shared" si="13"/>
        <v>0</v>
      </c>
    </row>
    <row r="34" spans="1:43" hidden="1" outlineLevel="1" x14ac:dyDescent="0.45">
      <c r="A34" s="10" t="s">
        <v>424</v>
      </c>
      <c r="B34" s="39">
        <v>6400335</v>
      </c>
      <c r="C34" s="15">
        <v>9023</v>
      </c>
      <c r="D34" s="15">
        <f ca="1">SUMIFS(Monatsexporte[Saldo],Monatsexporte[Jahr],$B$4,Monatsexporte[Monat],"&lt;="&amp;$B$8,Monatsexporte[Konto],B34)</f>
        <v>27068.850000000002</v>
      </c>
      <c r="E34" s="15">
        <f ca="1">SUMIFS(Monatsexporte[Saldo],Monatsexporte[Jahr],$B$5,Monatsexporte[Monat],"&lt;="&amp;$B$8,Monatsexporte[Konto],B34)</f>
        <v>0</v>
      </c>
      <c r="F34" s="15">
        <f t="shared" ca="1" si="0"/>
        <v>27068.850000000002</v>
      </c>
      <c r="G34" s="22">
        <f t="shared" ca="1" si="1"/>
        <v>0</v>
      </c>
      <c r="H34" s="15">
        <f>SUMIFS(Monatsexporte[Saldo],Monatsexporte[Jahr],$B$4,Monatsexporte[Monat],1,Monatsexporte[Konto],B34)</f>
        <v>0</v>
      </c>
      <c r="I34" s="15">
        <f>SUMIFS(Monatsexporte[Saldo],Monatsexporte[Jahr],$B$5,Monatsexporte[Monat],1,Monatsexporte[Konto],B34)</f>
        <v>0</v>
      </c>
      <c r="J34" s="22">
        <f t="shared" si="2"/>
        <v>0</v>
      </c>
      <c r="K34" s="15">
        <f>SUMIFS(Monatsexporte[Saldo],Monatsexporte[Jahr],$B$4,Monatsexporte[Monat],2,Monatsexporte[Konto],B34)</f>
        <v>0</v>
      </c>
      <c r="L34" s="15">
        <f>SUMIFS(Monatsexporte[Saldo],Monatsexporte[Jahr],$B$5,Monatsexporte[Monat],2,Monatsexporte[Konto],B34)</f>
        <v>0</v>
      </c>
      <c r="M34" s="22">
        <f t="shared" si="3"/>
        <v>0</v>
      </c>
      <c r="N34" s="15">
        <f>SUMIFS(Monatsexporte[Saldo],Monatsexporte[Jahr],$B$4,Monatsexporte[Monat],3,Monatsexporte[Konto],B34)</f>
        <v>9022.9500000000007</v>
      </c>
      <c r="O34" s="15">
        <f>SUMIFS(Monatsexporte[Saldo],Monatsexporte[Jahr],$B$5,Monatsexporte[Monat],3,Monatsexporte[Konto],B34)</f>
        <v>0</v>
      </c>
      <c r="P34" s="22">
        <f t="shared" si="4"/>
        <v>0</v>
      </c>
      <c r="Q34" s="15">
        <f>SUMIFS(Monatsexporte[Saldo],Monatsexporte[Jahr],$B$4,Monatsexporte[Monat],4,Monatsexporte[Konto],B34)</f>
        <v>9022.9500000000007</v>
      </c>
      <c r="R34" s="15">
        <f>SUMIFS(Monatsexporte[Saldo],Monatsexporte[Jahr],$B$5,Monatsexporte[Monat],4,Monatsexporte[Konto],B34)</f>
        <v>0</v>
      </c>
      <c r="S34" s="22">
        <f t="shared" si="5"/>
        <v>0</v>
      </c>
      <c r="T34" s="15">
        <f>SUMIFS(Monatsexporte[Saldo],Monatsexporte[Jahr],$B$4,Monatsexporte[Monat],5,Monatsexporte[Konto],B34)</f>
        <v>9022.9500000000007</v>
      </c>
      <c r="U34" s="15">
        <f>SUMIFS(Monatsexporte[Saldo],Monatsexporte[Jahr],$B$5,Monatsexporte[Monat],5,Monatsexporte[Konto],B34)</f>
        <v>0</v>
      </c>
      <c r="V34" s="22">
        <f t="shared" si="6"/>
        <v>0</v>
      </c>
      <c r="W34" s="15">
        <f>SUMIFS(Monatsexporte[Saldo],Monatsexporte[Jahr],$B$4,Monatsexporte[Monat],6,Monatsexporte[Konto],B34)</f>
        <v>0</v>
      </c>
      <c r="X34" s="15">
        <f>SUMIFS(Monatsexporte[Saldo],Monatsexporte[Jahr],$B$5,Monatsexporte[Monat],6,Monatsexporte[Konto],B34)</f>
        <v>0</v>
      </c>
      <c r="Y34" s="22">
        <f t="shared" si="7"/>
        <v>0</v>
      </c>
      <c r="Z34" s="15">
        <f>SUMIFS(Monatsexporte[Saldo],Monatsexporte[Jahr],$B$4,Monatsexporte[Monat],7,Monatsexporte[Konto],B34)</f>
        <v>0</v>
      </c>
      <c r="AA34" s="15">
        <f>SUMIFS(Monatsexporte[Saldo],Monatsexporte[Jahr],$B$5,Monatsexporte[Monat],7,Monatsexporte[Konto],B34)</f>
        <v>0</v>
      </c>
      <c r="AB34" s="22">
        <f t="shared" si="8"/>
        <v>0</v>
      </c>
      <c r="AC34" s="15">
        <f>SUMIFS(Monatsexporte[Saldo],Monatsexporte[Jahr],$B$4,Monatsexporte[Monat],8,Monatsexporte[Konto],B34)</f>
        <v>0</v>
      </c>
      <c r="AD34" s="15">
        <f>SUMIFS(Monatsexporte[Saldo],Monatsexporte[Jahr],$B$5,Monatsexporte[Monat],8,Monatsexporte[Konto],B34)</f>
        <v>0</v>
      </c>
      <c r="AE34" s="22">
        <f t="shared" si="9"/>
        <v>0</v>
      </c>
      <c r="AF34" s="15">
        <f>SUMIFS(Monatsexporte[Saldo],Monatsexporte[Jahr],$B$4,Monatsexporte[Monat],9,Monatsexporte[Konto],B34)</f>
        <v>0</v>
      </c>
      <c r="AG34" s="15">
        <f>SUMIFS(Monatsexporte[Saldo],Monatsexporte[Jahr],$B$5,Monatsexporte[Monat],9,Monatsexporte[Konto],B34)</f>
        <v>0</v>
      </c>
      <c r="AH34" s="22">
        <f t="shared" si="10"/>
        <v>0</v>
      </c>
      <c r="AI34" s="15">
        <f>SUMIFS(Monatsexporte[Saldo],Monatsexporte[Jahr],$B$4,Monatsexporte[Monat],10,Monatsexporte[Konto],B34)</f>
        <v>0</v>
      </c>
      <c r="AJ34" s="15">
        <f>SUMIFS(Monatsexporte[Saldo],Monatsexporte[Jahr],$B$5,Monatsexporte[Monat],10,Monatsexporte[Konto],B34)</f>
        <v>0</v>
      </c>
      <c r="AK34" s="22">
        <f t="shared" si="11"/>
        <v>0</v>
      </c>
      <c r="AL34" s="15">
        <f>SUMIFS(Monatsexporte[Saldo],Monatsexporte[Jahr],$B$4,Monatsexporte[Monat],11,Monatsexporte[Konto],B34)</f>
        <v>0</v>
      </c>
      <c r="AM34" s="15">
        <f>SUMIFS(Monatsexporte[Saldo],Monatsexporte[Jahr],$B$5,Monatsexporte[Monat],11,Monatsexporte[Konto],B34)</f>
        <v>0</v>
      </c>
      <c r="AN34" s="22">
        <f t="shared" si="12"/>
        <v>0</v>
      </c>
      <c r="AO34" s="15">
        <f>SUMIFS(Monatsexporte[Saldo],Monatsexporte[Jahr],$B$4,Monatsexporte[Monat],12,Monatsexporte[Konto],B34)</f>
        <v>0</v>
      </c>
      <c r="AP34" s="15">
        <f>SUMIFS(Monatsexporte[Saldo],Monatsexporte[Jahr],$B$5,Monatsexporte[Monat],12,Monatsexporte[Konto],B34)</f>
        <v>0</v>
      </c>
      <c r="AQ34" s="22">
        <f t="shared" si="13"/>
        <v>0</v>
      </c>
    </row>
    <row r="35" spans="1:43" hidden="1" outlineLevel="1" x14ac:dyDescent="0.45">
      <c r="A35" s="10" t="s">
        <v>425</v>
      </c>
      <c r="B35" s="39">
        <v>640123204</v>
      </c>
      <c r="C35" s="15">
        <v>1280</v>
      </c>
      <c r="D35" s="15">
        <f ca="1">SUMIFS(Monatsexporte[Saldo],Monatsexporte[Jahr],$B$4,Monatsexporte[Monat],"&lt;="&amp;$B$8,Monatsexporte[Konto],B35)</f>
        <v>3840</v>
      </c>
      <c r="E35" s="15">
        <f ca="1">SUMIFS(Monatsexporte[Saldo],Monatsexporte[Jahr],$B$5,Monatsexporte[Monat],"&lt;="&amp;$B$8,Monatsexporte[Konto],B35)</f>
        <v>0</v>
      </c>
      <c r="F35" s="15">
        <f t="shared" ca="1" si="0"/>
        <v>3840</v>
      </c>
      <c r="G35" s="22">
        <f t="shared" ca="1" si="1"/>
        <v>0</v>
      </c>
      <c r="H35" s="15">
        <f>SUMIFS(Monatsexporte[Saldo],Monatsexporte[Jahr],$B$4,Monatsexporte[Monat],1,Monatsexporte[Konto],B35)</f>
        <v>0</v>
      </c>
      <c r="I35" s="15">
        <f>SUMIFS(Monatsexporte[Saldo],Monatsexporte[Jahr],$B$5,Monatsexporte[Monat],1,Monatsexporte[Konto],B35)</f>
        <v>0</v>
      </c>
      <c r="J35" s="22">
        <f t="shared" si="2"/>
        <v>0</v>
      </c>
      <c r="K35" s="15">
        <f>SUMIFS(Monatsexporte[Saldo],Monatsexporte[Jahr],$B$4,Monatsexporte[Monat],2,Monatsexporte[Konto],B35)</f>
        <v>0</v>
      </c>
      <c r="L35" s="15">
        <f>SUMIFS(Monatsexporte[Saldo],Monatsexporte[Jahr],$B$5,Monatsexporte[Monat],2,Monatsexporte[Konto],B35)</f>
        <v>0</v>
      </c>
      <c r="M35" s="22">
        <f t="shared" si="3"/>
        <v>0</v>
      </c>
      <c r="N35" s="15">
        <f>SUMIFS(Monatsexporte[Saldo],Monatsexporte[Jahr],$B$4,Monatsexporte[Monat],3,Monatsexporte[Konto],B35)</f>
        <v>1280</v>
      </c>
      <c r="O35" s="15">
        <f>SUMIFS(Monatsexporte[Saldo],Monatsexporte[Jahr],$B$5,Monatsexporte[Monat],3,Monatsexporte[Konto],B35)</f>
        <v>0</v>
      </c>
      <c r="P35" s="22">
        <f t="shared" si="4"/>
        <v>0</v>
      </c>
      <c r="Q35" s="15">
        <f>SUMIFS(Monatsexporte[Saldo],Monatsexporte[Jahr],$B$4,Monatsexporte[Monat],4,Monatsexporte[Konto],B35)</f>
        <v>1280</v>
      </c>
      <c r="R35" s="15">
        <f>SUMIFS(Monatsexporte[Saldo],Monatsexporte[Jahr],$B$5,Monatsexporte[Monat],4,Monatsexporte[Konto],B35)</f>
        <v>0</v>
      </c>
      <c r="S35" s="22">
        <f t="shared" si="5"/>
        <v>0</v>
      </c>
      <c r="T35" s="15">
        <f>SUMIFS(Monatsexporte[Saldo],Monatsexporte[Jahr],$B$4,Monatsexporte[Monat],5,Monatsexporte[Konto],B35)</f>
        <v>1280</v>
      </c>
      <c r="U35" s="15">
        <f>SUMIFS(Monatsexporte[Saldo],Monatsexporte[Jahr],$B$5,Monatsexporte[Monat],5,Monatsexporte[Konto],B35)</f>
        <v>0</v>
      </c>
      <c r="V35" s="22">
        <f t="shared" si="6"/>
        <v>0</v>
      </c>
      <c r="W35" s="15">
        <f>SUMIFS(Monatsexporte[Saldo],Monatsexporte[Jahr],$B$4,Monatsexporte[Monat],6,Monatsexporte[Konto],B35)</f>
        <v>0</v>
      </c>
      <c r="X35" s="15">
        <f>SUMIFS(Monatsexporte[Saldo],Monatsexporte[Jahr],$B$5,Monatsexporte[Monat],6,Monatsexporte[Konto],B35)</f>
        <v>0</v>
      </c>
      <c r="Y35" s="22">
        <f t="shared" si="7"/>
        <v>0</v>
      </c>
      <c r="Z35" s="15">
        <f>SUMIFS(Monatsexporte[Saldo],Monatsexporte[Jahr],$B$4,Monatsexporte[Monat],7,Monatsexporte[Konto],B35)</f>
        <v>0</v>
      </c>
      <c r="AA35" s="15">
        <f>SUMIFS(Monatsexporte[Saldo],Monatsexporte[Jahr],$B$5,Monatsexporte[Monat],7,Monatsexporte[Konto],B35)</f>
        <v>0</v>
      </c>
      <c r="AB35" s="22">
        <f t="shared" si="8"/>
        <v>0</v>
      </c>
      <c r="AC35" s="15">
        <f>SUMIFS(Monatsexporte[Saldo],Monatsexporte[Jahr],$B$4,Monatsexporte[Monat],8,Monatsexporte[Konto],B35)</f>
        <v>0</v>
      </c>
      <c r="AD35" s="15">
        <f>SUMIFS(Monatsexporte[Saldo],Monatsexporte[Jahr],$B$5,Monatsexporte[Monat],8,Monatsexporte[Konto],B35)</f>
        <v>0</v>
      </c>
      <c r="AE35" s="22">
        <f t="shared" si="9"/>
        <v>0</v>
      </c>
      <c r="AF35" s="15">
        <f>SUMIFS(Monatsexporte[Saldo],Monatsexporte[Jahr],$B$4,Monatsexporte[Monat],9,Monatsexporte[Konto],B35)</f>
        <v>0</v>
      </c>
      <c r="AG35" s="15">
        <f>SUMIFS(Monatsexporte[Saldo],Monatsexporte[Jahr],$B$5,Monatsexporte[Monat],9,Monatsexporte[Konto],B35)</f>
        <v>0</v>
      </c>
      <c r="AH35" s="22">
        <f t="shared" si="10"/>
        <v>0</v>
      </c>
      <c r="AI35" s="15">
        <f>SUMIFS(Monatsexporte[Saldo],Monatsexporte[Jahr],$B$4,Monatsexporte[Monat],10,Monatsexporte[Konto],B35)</f>
        <v>0</v>
      </c>
      <c r="AJ35" s="15">
        <f>SUMIFS(Monatsexporte[Saldo],Monatsexporte[Jahr],$B$5,Monatsexporte[Monat],10,Monatsexporte[Konto],B35)</f>
        <v>0</v>
      </c>
      <c r="AK35" s="22">
        <f t="shared" si="11"/>
        <v>0</v>
      </c>
      <c r="AL35" s="15">
        <f>SUMIFS(Monatsexporte[Saldo],Monatsexporte[Jahr],$B$4,Monatsexporte[Monat],11,Monatsexporte[Konto],B35)</f>
        <v>0</v>
      </c>
      <c r="AM35" s="15">
        <f>SUMIFS(Monatsexporte[Saldo],Monatsexporte[Jahr],$B$5,Monatsexporte[Monat],11,Monatsexporte[Konto],B35)</f>
        <v>0</v>
      </c>
      <c r="AN35" s="22">
        <f t="shared" si="12"/>
        <v>0</v>
      </c>
      <c r="AO35" s="15">
        <f>SUMIFS(Monatsexporte[Saldo],Monatsexporte[Jahr],$B$4,Monatsexporte[Monat],12,Monatsexporte[Konto],B35)</f>
        <v>0</v>
      </c>
      <c r="AP35" s="15">
        <f>SUMIFS(Monatsexporte[Saldo],Monatsexporte[Jahr],$B$5,Monatsexporte[Monat],12,Monatsexporte[Konto],B35)</f>
        <v>0</v>
      </c>
      <c r="AQ35" s="22">
        <f t="shared" si="13"/>
        <v>0</v>
      </c>
    </row>
    <row r="36" spans="1:43" hidden="1" outlineLevel="1" x14ac:dyDescent="0.45">
      <c r="A36" s="10" t="s">
        <v>426</v>
      </c>
      <c r="B36" s="39">
        <v>6401233</v>
      </c>
      <c r="C36" s="15">
        <v>300</v>
      </c>
      <c r="D36" s="15">
        <f ca="1">SUMIFS(Monatsexporte[Saldo],Monatsexporte[Jahr],$B$4,Monatsexporte[Monat],"&lt;="&amp;$B$8,Monatsexporte[Konto],B36)</f>
        <v>899.87999999999988</v>
      </c>
      <c r="E36" s="15">
        <f ca="1">SUMIFS(Monatsexporte[Saldo],Monatsexporte[Jahr],$B$5,Monatsexporte[Monat],"&lt;="&amp;$B$8,Monatsexporte[Konto],B36)</f>
        <v>0</v>
      </c>
      <c r="F36" s="15">
        <f t="shared" ca="1" si="0"/>
        <v>899.87999999999988</v>
      </c>
      <c r="G36" s="22">
        <f t="shared" ca="1" si="1"/>
        <v>0</v>
      </c>
      <c r="H36" s="15">
        <f>SUMIFS(Monatsexporte[Saldo],Monatsexporte[Jahr],$B$4,Monatsexporte[Monat],1,Monatsexporte[Konto],B36)</f>
        <v>0</v>
      </c>
      <c r="I36" s="15">
        <f>SUMIFS(Monatsexporte[Saldo],Monatsexporte[Jahr],$B$5,Monatsexporte[Monat],1,Monatsexporte[Konto],B36)</f>
        <v>0</v>
      </c>
      <c r="J36" s="22">
        <f t="shared" si="2"/>
        <v>0</v>
      </c>
      <c r="K36" s="15">
        <f>SUMIFS(Monatsexporte[Saldo],Monatsexporte[Jahr],$B$4,Monatsexporte[Monat],2,Monatsexporte[Konto],B36)</f>
        <v>0</v>
      </c>
      <c r="L36" s="15">
        <f>SUMIFS(Monatsexporte[Saldo],Monatsexporte[Jahr],$B$5,Monatsexporte[Monat],2,Monatsexporte[Konto],B36)</f>
        <v>0</v>
      </c>
      <c r="M36" s="22">
        <f t="shared" si="3"/>
        <v>0</v>
      </c>
      <c r="N36" s="15">
        <f>SUMIFS(Monatsexporte[Saldo],Monatsexporte[Jahr],$B$4,Monatsexporte[Monat],3,Monatsexporte[Konto],B36)</f>
        <v>299.95999999999998</v>
      </c>
      <c r="O36" s="15">
        <f>SUMIFS(Monatsexporte[Saldo],Monatsexporte[Jahr],$B$5,Monatsexporte[Monat],3,Monatsexporte[Konto],B36)</f>
        <v>0</v>
      </c>
      <c r="P36" s="22">
        <f t="shared" si="4"/>
        <v>0</v>
      </c>
      <c r="Q36" s="15">
        <f>SUMIFS(Monatsexporte[Saldo],Monatsexporte[Jahr],$B$4,Monatsexporte[Monat],4,Monatsexporte[Konto],B36)</f>
        <v>299.95999999999998</v>
      </c>
      <c r="R36" s="15">
        <f>SUMIFS(Monatsexporte[Saldo],Monatsexporte[Jahr],$B$5,Monatsexporte[Monat],4,Monatsexporte[Konto],B36)</f>
        <v>0</v>
      </c>
      <c r="S36" s="22">
        <f t="shared" si="5"/>
        <v>0</v>
      </c>
      <c r="T36" s="15">
        <f>SUMIFS(Monatsexporte[Saldo],Monatsexporte[Jahr],$B$4,Monatsexporte[Monat],5,Monatsexporte[Konto],B36)</f>
        <v>299.95999999999998</v>
      </c>
      <c r="U36" s="15">
        <f>SUMIFS(Monatsexporte[Saldo],Monatsexporte[Jahr],$B$5,Monatsexporte[Monat],5,Monatsexporte[Konto],B36)</f>
        <v>0</v>
      </c>
      <c r="V36" s="22">
        <f t="shared" si="6"/>
        <v>0</v>
      </c>
      <c r="W36" s="15">
        <f>SUMIFS(Monatsexporte[Saldo],Monatsexporte[Jahr],$B$4,Monatsexporte[Monat],6,Monatsexporte[Konto],B36)</f>
        <v>0</v>
      </c>
      <c r="X36" s="15">
        <f>SUMIFS(Monatsexporte[Saldo],Monatsexporte[Jahr],$B$5,Monatsexporte[Monat],6,Monatsexporte[Konto],B36)</f>
        <v>0</v>
      </c>
      <c r="Y36" s="22">
        <f t="shared" si="7"/>
        <v>0</v>
      </c>
      <c r="Z36" s="15">
        <f>SUMIFS(Monatsexporte[Saldo],Monatsexporte[Jahr],$B$4,Monatsexporte[Monat],7,Monatsexporte[Konto],B36)</f>
        <v>0</v>
      </c>
      <c r="AA36" s="15">
        <f>SUMIFS(Monatsexporte[Saldo],Monatsexporte[Jahr],$B$5,Monatsexporte[Monat],7,Monatsexporte[Konto],B36)</f>
        <v>0</v>
      </c>
      <c r="AB36" s="22">
        <f t="shared" si="8"/>
        <v>0</v>
      </c>
      <c r="AC36" s="15">
        <f>SUMIFS(Monatsexporte[Saldo],Monatsexporte[Jahr],$B$4,Monatsexporte[Monat],8,Monatsexporte[Konto],B36)</f>
        <v>0</v>
      </c>
      <c r="AD36" s="15">
        <f>SUMIFS(Monatsexporte[Saldo],Monatsexporte[Jahr],$B$5,Monatsexporte[Monat],8,Monatsexporte[Konto],B36)</f>
        <v>0</v>
      </c>
      <c r="AE36" s="22">
        <f t="shared" si="9"/>
        <v>0</v>
      </c>
      <c r="AF36" s="15">
        <f>SUMIFS(Monatsexporte[Saldo],Monatsexporte[Jahr],$B$4,Monatsexporte[Monat],9,Monatsexporte[Konto],B36)</f>
        <v>0</v>
      </c>
      <c r="AG36" s="15">
        <f>SUMIFS(Monatsexporte[Saldo],Monatsexporte[Jahr],$B$5,Monatsexporte[Monat],9,Monatsexporte[Konto],B36)</f>
        <v>0</v>
      </c>
      <c r="AH36" s="22">
        <f t="shared" si="10"/>
        <v>0</v>
      </c>
      <c r="AI36" s="15">
        <f>SUMIFS(Monatsexporte[Saldo],Monatsexporte[Jahr],$B$4,Monatsexporte[Monat],10,Monatsexporte[Konto],B36)</f>
        <v>0</v>
      </c>
      <c r="AJ36" s="15">
        <f>SUMIFS(Monatsexporte[Saldo],Monatsexporte[Jahr],$B$5,Monatsexporte[Monat],10,Monatsexporte[Konto],B36)</f>
        <v>0</v>
      </c>
      <c r="AK36" s="22">
        <f t="shared" si="11"/>
        <v>0</v>
      </c>
      <c r="AL36" s="15">
        <f>SUMIFS(Monatsexporte[Saldo],Monatsexporte[Jahr],$B$4,Monatsexporte[Monat],11,Monatsexporte[Konto],B36)</f>
        <v>0</v>
      </c>
      <c r="AM36" s="15">
        <f>SUMIFS(Monatsexporte[Saldo],Monatsexporte[Jahr],$B$5,Monatsexporte[Monat],11,Monatsexporte[Konto],B36)</f>
        <v>0</v>
      </c>
      <c r="AN36" s="22">
        <f t="shared" si="12"/>
        <v>0</v>
      </c>
      <c r="AO36" s="15">
        <f>SUMIFS(Monatsexporte[Saldo],Monatsexporte[Jahr],$B$4,Monatsexporte[Monat],12,Monatsexporte[Konto],B36)</f>
        <v>0</v>
      </c>
      <c r="AP36" s="15">
        <f>SUMIFS(Monatsexporte[Saldo],Monatsexporte[Jahr],$B$5,Monatsexporte[Monat],12,Monatsexporte[Konto],B36)</f>
        <v>0</v>
      </c>
      <c r="AQ36" s="22">
        <f t="shared" si="13"/>
        <v>0</v>
      </c>
    </row>
    <row r="37" spans="1:43" hidden="1" outlineLevel="1" x14ac:dyDescent="0.45">
      <c r="A37" s="10" t="s">
        <v>427</v>
      </c>
      <c r="B37" s="39">
        <v>6401259</v>
      </c>
      <c r="C37" s="15">
        <v>170</v>
      </c>
      <c r="D37" s="15">
        <f ca="1">SUMIFS(Monatsexporte[Saldo],Monatsexporte[Jahr],$B$4,Monatsexporte[Monat],"&lt;="&amp;$B$8,Monatsexporte[Konto],B37)</f>
        <v>510.39</v>
      </c>
      <c r="E37" s="15">
        <f ca="1">SUMIFS(Monatsexporte[Saldo],Monatsexporte[Jahr],$B$5,Monatsexporte[Monat],"&lt;="&amp;$B$8,Monatsexporte[Konto],B37)</f>
        <v>0</v>
      </c>
      <c r="F37" s="15">
        <f t="shared" ca="1" si="0"/>
        <v>510.39</v>
      </c>
      <c r="G37" s="22">
        <f t="shared" ca="1" si="1"/>
        <v>0</v>
      </c>
      <c r="H37" s="15">
        <f>SUMIFS(Monatsexporte[Saldo],Monatsexporte[Jahr],$B$4,Monatsexporte[Monat],1,Monatsexporte[Konto],B37)</f>
        <v>0</v>
      </c>
      <c r="I37" s="15">
        <f>SUMIFS(Monatsexporte[Saldo],Monatsexporte[Jahr],$B$5,Monatsexporte[Monat],1,Monatsexporte[Konto],B37)</f>
        <v>0</v>
      </c>
      <c r="J37" s="22">
        <f t="shared" si="2"/>
        <v>0</v>
      </c>
      <c r="K37" s="15">
        <f>SUMIFS(Monatsexporte[Saldo],Monatsexporte[Jahr],$B$4,Monatsexporte[Monat],2,Monatsexporte[Konto],B37)</f>
        <v>0</v>
      </c>
      <c r="L37" s="15">
        <f>SUMIFS(Monatsexporte[Saldo],Monatsexporte[Jahr],$B$5,Monatsexporte[Monat],2,Monatsexporte[Konto],B37)</f>
        <v>0</v>
      </c>
      <c r="M37" s="22">
        <f t="shared" si="3"/>
        <v>0</v>
      </c>
      <c r="N37" s="15">
        <f>SUMIFS(Monatsexporte[Saldo],Monatsexporte[Jahr],$B$4,Monatsexporte[Monat],3,Monatsexporte[Konto],B37)</f>
        <v>170.13</v>
      </c>
      <c r="O37" s="15">
        <f>SUMIFS(Monatsexporte[Saldo],Monatsexporte[Jahr],$B$5,Monatsexporte[Monat],3,Monatsexporte[Konto],B37)</f>
        <v>0</v>
      </c>
      <c r="P37" s="22">
        <f t="shared" si="4"/>
        <v>0</v>
      </c>
      <c r="Q37" s="15">
        <f>SUMIFS(Monatsexporte[Saldo],Monatsexporte[Jahr],$B$4,Monatsexporte[Monat],4,Monatsexporte[Konto],B37)</f>
        <v>170.13</v>
      </c>
      <c r="R37" s="15">
        <f>SUMIFS(Monatsexporte[Saldo],Monatsexporte[Jahr],$B$5,Monatsexporte[Monat],4,Monatsexporte[Konto],B37)</f>
        <v>0</v>
      </c>
      <c r="S37" s="22">
        <f t="shared" si="5"/>
        <v>0</v>
      </c>
      <c r="T37" s="15">
        <f>SUMIFS(Monatsexporte[Saldo],Monatsexporte[Jahr],$B$4,Monatsexporte[Monat],5,Monatsexporte[Konto],B37)</f>
        <v>170.13</v>
      </c>
      <c r="U37" s="15">
        <f>SUMIFS(Monatsexporte[Saldo],Monatsexporte[Jahr],$B$5,Monatsexporte[Monat],5,Monatsexporte[Konto],B37)</f>
        <v>0</v>
      </c>
      <c r="V37" s="22">
        <f t="shared" si="6"/>
        <v>0</v>
      </c>
      <c r="W37" s="15">
        <f>SUMIFS(Monatsexporte[Saldo],Monatsexporte[Jahr],$B$4,Monatsexporte[Monat],6,Monatsexporte[Konto],B37)</f>
        <v>0</v>
      </c>
      <c r="X37" s="15">
        <f>SUMIFS(Monatsexporte[Saldo],Monatsexporte[Jahr],$B$5,Monatsexporte[Monat],6,Monatsexporte[Konto],B37)</f>
        <v>0</v>
      </c>
      <c r="Y37" s="22">
        <f t="shared" si="7"/>
        <v>0</v>
      </c>
      <c r="Z37" s="15">
        <f>SUMIFS(Monatsexporte[Saldo],Monatsexporte[Jahr],$B$4,Monatsexporte[Monat],7,Monatsexporte[Konto],B37)</f>
        <v>0</v>
      </c>
      <c r="AA37" s="15">
        <f>SUMIFS(Monatsexporte[Saldo],Monatsexporte[Jahr],$B$5,Monatsexporte[Monat],7,Monatsexporte[Konto],B37)</f>
        <v>0</v>
      </c>
      <c r="AB37" s="22">
        <f t="shared" si="8"/>
        <v>0</v>
      </c>
      <c r="AC37" s="15">
        <f>SUMIFS(Monatsexporte[Saldo],Monatsexporte[Jahr],$B$4,Monatsexporte[Monat],8,Monatsexporte[Konto],B37)</f>
        <v>0</v>
      </c>
      <c r="AD37" s="15">
        <f>SUMIFS(Monatsexporte[Saldo],Monatsexporte[Jahr],$B$5,Monatsexporte[Monat],8,Monatsexporte[Konto],B37)</f>
        <v>0</v>
      </c>
      <c r="AE37" s="22">
        <f t="shared" si="9"/>
        <v>0</v>
      </c>
      <c r="AF37" s="15">
        <f>SUMIFS(Monatsexporte[Saldo],Monatsexporte[Jahr],$B$4,Monatsexporte[Monat],9,Monatsexporte[Konto],B37)</f>
        <v>0</v>
      </c>
      <c r="AG37" s="15">
        <f>SUMIFS(Monatsexporte[Saldo],Monatsexporte[Jahr],$B$5,Monatsexporte[Monat],9,Monatsexporte[Konto],B37)</f>
        <v>0</v>
      </c>
      <c r="AH37" s="22">
        <f t="shared" si="10"/>
        <v>0</v>
      </c>
      <c r="AI37" s="15">
        <f>SUMIFS(Monatsexporte[Saldo],Monatsexporte[Jahr],$B$4,Monatsexporte[Monat],10,Monatsexporte[Konto],B37)</f>
        <v>0</v>
      </c>
      <c r="AJ37" s="15">
        <f>SUMIFS(Monatsexporte[Saldo],Monatsexporte[Jahr],$B$5,Monatsexporte[Monat],10,Monatsexporte[Konto],B37)</f>
        <v>0</v>
      </c>
      <c r="AK37" s="22">
        <f t="shared" si="11"/>
        <v>0</v>
      </c>
      <c r="AL37" s="15">
        <f>SUMIFS(Monatsexporte[Saldo],Monatsexporte[Jahr],$B$4,Monatsexporte[Monat],11,Monatsexporte[Konto],B37)</f>
        <v>0</v>
      </c>
      <c r="AM37" s="15">
        <f>SUMIFS(Monatsexporte[Saldo],Monatsexporte[Jahr],$B$5,Monatsexporte[Monat],11,Monatsexporte[Konto],B37)</f>
        <v>0</v>
      </c>
      <c r="AN37" s="22">
        <f t="shared" si="12"/>
        <v>0</v>
      </c>
      <c r="AO37" s="15">
        <f>SUMIFS(Monatsexporte[Saldo],Monatsexporte[Jahr],$B$4,Monatsexporte[Monat],12,Monatsexporte[Konto],B37)</f>
        <v>0</v>
      </c>
      <c r="AP37" s="15">
        <f>SUMIFS(Monatsexporte[Saldo],Monatsexporte[Jahr],$B$5,Monatsexporte[Monat],12,Monatsexporte[Konto],B37)</f>
        <v>0</v>
      </c>
      <c r="AQ37" s="22">
        <f t="shared" si="13"/>
        <v>0</v>
      </c>
    </row>
    <row r="38" spans="1:43" hidden="1" outlineLevel="1" x14ac:dyDescent="0.45">
      <c r="A38" s="10" t="s">
        <v>428</v>
      </c>
      <c r="B38" s="39">
        <v>6401260</v>
      </c>
      <c r="C38" s="15">
        <v>3054</v>
      </c>
      <c r="D38" s="15">
        <f ca="1">SUMIFS(Monatsexporte[Saldo],Monatsexporte[Jahr],$B$4,Monatsexporte[Monat],"&lt;="&amp;$B$8,Monatsexporte[Konto],B38)</f>
        <v>9160.77</v>
      </c>
      <c r="E38" s="15">
        <f ca="1">SUMIFS(Monatsexporte[Saldo],Monatsexporte[Jahr],$B$5,Monatsexporte[Monat],"&lt;="&amp;$B$8,Monatsexporte[Konto],B38)</f>
        <v>0</v>
      </c>
      <c r="F38" s="15">
        <f t="shared" ca="1" si="0"/>
        <v>9160.77</v>
      </c>
      <c r="G38" s="22">
        <f t="shared" ca="1" si="1"/>
        <v>0</v>
      </c>
      <c r="H38" s="15">
        <f>SUMIFS(Monatsexporte[Saldo],Monatsexporte[Jahr],$B$4,Monatsexporte[Monat],1,Monatsexporte[Konto],B38)</f>
        <v>0</v>
      </c>
      <c r="I38" s="15">
        <f>SUMIFS(Monatsexporte[Saldo],Monatsexporte[Jahr],$B$5,Monatsexporte[Monat],1,Monatsexporte[Konto],B38)</f>
        <v>0</v>
      </c>
      <c r="J38" s="22">
        <f t="shared" si="2"/>
        <v>0</v>
      </c>
      <c r="K38" s="15">
        <f>SUMIFS(Monatsexporte[Saldo],Monatsexporte[Jahr],$B$4,Monatsexporte[Monat],2,Monatsexporte[Konto],B38)</f>
        <v>0</v>
      </c>
      <c r="L38" s="15">
        <f>SUMIFS(Monatsexporte[Saldo],Monatsexporte[Jahr],$B$5,Monatsexporte[Monat],2,Monatsexporte[Konto],B38)</f>
        <v>0</v>
      </c>
      <c r="M38" s="22">
        <f t="shared" si="3"/>
        <v>0</v>
      </c>
      <c r="N38" s="15">
        <f>SUMIFS(Monatsexporte[Saldo],Monatsexporte[Jahr],$B$4,Monatsexporte[Monat],3,Monatsexporte[Konto],B38)</f>
        <v>3053.59</v>
      </c>
      <c r="O38" s="15">
        <f>SUMIFS(Monatsexporte[Saldo],Monatsexporte[Jahr],$B$5,Monatsexporte[Monat],3,Monatsexporte[Konto],B38)</f>
        <v>0</v>
      </c>
      <c r="P38" s="22">
        <f t="shared" si="4"/>
        <v>0</v>
      </c>
      <c r="Q38" s="15">
        <f>SUMIFS(Monatsexporte[Saldo],Monatsexporte[Jahr],$B$4,Monatsexporte[Monat],4,Monatsexporte[Konto],B38)</f>
        <v>3053.59</v>
      </c>
      <c r="R38" s="15">
        <f>SUMIFS(Monatsexporte[Saldo],Monatsexporte[Jahr],$B$5,Monatsexporte[Monat],4,Monatsexporte[Konto],B38)</f>
        <v>0</v>
      </c>
      <c r="S38" s="22">
        <f t="shared" si="5"/>
        <v>0</v>
      </c>
      <c r="T38" s="15">
        <f>SUMIFS(Monatsexporte[Saldo],Monatsexporte[Jahr],$B$4,Monatsexporte[Monat],5,Monatsexporte[Konto],B38)</f>
        <v>3053.59</v>
      </c>
      <c r="U38" s="15">
        <f>SUMIFS(Monatsexporte[Saldo],Monatsexporte[Jahr],$B$5,Monatsexporte[Monat],5,Monatsexporte[Konto],B38)</f>
        <v>0</v>
      </c>
      <c r="V38" s="22">
        <f t="shared" si="6"/>
        <v>0</v>
      </c>
      <c r="W38" s="15">
        <f>SUMIFS(Monatsexporte[Saldo],Monatsexporte[Jahr],$B$4,Monatsexporte[Monat],6,Monatsexporte[Konto],B38)</f>
        <v>0</v>
      </c>
      <c r="X38" s="15">
        <f>SUMIFS(Monatsexporte[Saldo],Monatsexporte[Jahr],$B$5,Monatsexporte[Monat],6,Monatsexporte[Konto],B38)</f>
        <v>0</v>
      </c>
      <c r="Y38" s="22">
        <f t="shared" si="7"/>
        <v>0</v>
      </c>
      <c r="Z38" s="15">
        <f>SUMIFS(Monatsexporte[Saldo],Monatsexporte[Jahr],$B$4,Monatsexporte[Monat],7,Monatsexporte[Konto],B38)</f>
        <v>0</v>
      </c>
      <c r="AA38" s="15">
        <f>SUMIFS(Monatsexporte[Saldo],Monatsexporte[Jahr],$B$5,Monatsexporte[Monat],7,Monatsexporte[Konto],B38)</f>
        <v>0</v>
      </c>
      <c r="AB38" s="22">
        <f t="shared" si="8"/>
        <v>0</v>
      </c>
      <c r="AC38" s="15">
        <f>SUMIFS(Monatsexporte[Saldo],Monatsexporte[Jahr],$B$4,Monatsexporte[Monat],8,Monatsexporte[Konto],B38)</f>
        <v>0</v>
      </c>
      <c r="AD38" s="15">
        <f>SUMIFS(Monatsexporte[Saldo],Monatsexporte[Jahr],$B$5,Monatsexporte[Monat],8,Monatsexporte[Konto],B38)</f>
        <v>0</v>
      </c>
      <c r="AE38" s="22">
        <f t="shared" si="9"/>
        <v>0</v>
      </c>
      <c r="AF38" s="15">
        <f>SUMIFS(Monatsexporte[Saldo],Monatsexporte[Jahr],$B$4,Monatsexporte[Monat],9,Monatsexporte[Konto],B38)</f>
        <v>0</v>
      </c>
      <c r="AG38" s="15">
        <f>SUMIFS(Monatsexporte[Saldo],Monatsexporte[Jahr],$B$5,Monatsexporte[Monat],9,Monatsexporte[Konto],B38)</f>
        <v>0</v>
      </c>
      <c r="AH38" s="22">
        <f t="shared" si="10"/>
        <v>0</v>
      </c>
      <c r="AI38" s="15">
        <f>SUMIFS(Monatsexporte[Saldo],Monatsexporte[Jahr],$B$4,Monatsexporte[Monat],10,Monatsexporte[Konto],B38)</f>
        <v>0</v>
      </c>
      <c r="AJ38" s="15">
        <f>SUMIFS(Monatsexporte[Saldo],Monatsexporte[Jahr],$B$5,Monatsexporte[Monat],10,Monatsexporte[Konto],B38)</f>
        <v>0</v>
      </c>
      <c r="AK38" s="22">
        <f t="shared" si="11"/>
        <v>0</v>
      </c>
      <c r="AL38" s="15">
        <f>SUMIFS(Monatsexporte[Saldo],Monatsexporte[Jahr],$B$4,Monatsexporte[Monat],11,Monatsexporte[Konto],B38)</f>
        <v>0</v>
      </c>
      <c r="AM38" s="15">
        <f>SUMIFS(Monatsexporte[Saldo],Monatsexporte[Jahr],$B$5,Monatsexporte[Monat],11,Monatsexporte[Konto],B38)</f>
        <v>0</v>
      </c>
      <c r="AN38" s="22">
        <f t="shared" si="12"/>
        <v>0</v>
      </c>
      <c r="AO38" s="15">
        <f>SUMIFS(Monatsexporte[Saldo],Monatsexporte[Jahr],$B$4,Monatsexporte[Monat],12,Monatsexporte[Konto],B38)</f>
        <v>0</v>
      </c>
      <c r="AP38" s="15">
        <f>SUMIFS(Monatsexporte[Saldo],Monatsexporte[Jahr],$B$5,Monatsexporte[Monat],12,Monatsexporte[Konto],B38)</f>
        <v>0</v>
      </c>
      <c r="AQ38" s="22">
        <f t="shared" si="13"/>
        <v>0</v>
      </c>
    </row>
    <row r="39" spans="1:43" hidden="1" outlineLevel="1" x14ac:dyDescent="0.45">
      <c r="A39" s="10" t="s">
        <v>429</v>
      </c>
      <c r="B39" s="39">
        <v>6401751</v>
      </c>
      <c r="C39" s="15">
        <v>73577</v>
      </c>
      <c r="D39" s="15">
        <f ca="1">SUMIFS(Monatsexporte[Saldo],Monatsexporte[Jahr],$B$4,Monatsexporte[Monat],"&lt;="&amp;$B$8,Monatsexporte[Konto],B39)</f>
        <v>220731</v>
      </c>
      <c r="E39" s="15">
        <f ca="1">SUMIFS(Monatsexporte[Saldo],Monatsexporte[Jahr],$B$5,Monatsexporte[Monat],"&lt;="&amp;$B$8,Monatsexporte[Konto],B39)</f>
        <v>0</v>
      </c>
      <c r="F39" s="15">
        <f t="shared" ca="1" si="0"/>
        <v>220731</v>
      </c>
      <c r="G39" s="22">
        <f t="shared" ca="1" si="1"/>
        <v>0</v>
      </c>
      <c r="H39" s="15">
        <f>SUMIFS(Monatsexporte[Saldo],Monatsexporte[Jahr],$B$4,Monatsexporte[Monat],1,Monatsexporte[Konto],B39)</f>
        <v>0</v>
      </c>
      <c r="I39" s="15">
        <f>SUMIFS(Monatsexporte[Saldo],Monatsexporte[Jahr],$B$5,Monatsexporte[Monat],1,Monatsexporte[Konto],B39)</f>
        <v>0</v>
      </c>
      <c r="J39" s="22">
        <f t="shared" si="2"/>
        <v>0</v>
      </c>
      <c r="K39" s="15">
        <f>SUMIFS(Monatsexporte[Saldo],Monatsexporte[Jahr],$B$4,Monatsexporte[Monat],2,Monatsexporte[Konto],B39)</f>
        <v>0</v>
      </c>
      <c r="L39" s="15">
        <f>SUMIFS(Monatsexporte[Saldo],Monatsexporte[Jahr],$B$5,Monatsexporte[Monat],2,Monatsexporte[Konto],B39)</f>
        <v>0</v>
      </c>
      <c r="M39" s="22">
        <f t="shared" si="3"/>
        <v>0</v>
      </c>
      <c r="N39" s="15">
        <f>SUMIFS(Monatsexporte[Saldo],Monatsexporte[Jahr],$B$4,Monatsexporte[Monat],3,Monatsexporte[Konto],B39)</f>
        <v>73577</v>
      </c>
      <c r="O39" s="15">
        <f>SUMIFS(Monatsexporte[Saldo],Monatsexporte[Jahr],$B$5,Monatsexporte[Monat],3,Monatsexporte[Konto],B39)</f>
        <v>0</v>
      </c>
      <c r="P39" s="22">
        <f t="shared" si="4"/>
        <v>0</v>
      </c>
      <c r="Q39" s="15">
        <f>SUMIFS(Monatsexporte[Saldo],Monatsexporte[Jahr],$B$4,Monatsexporte[Monat],4,Monatsexporte[Konto],B39)</f>
        <v>73577</v>
      </c>
      <c r="R39" s="15">
        <f>SUMIFS(Monatsexporte[Saldo],Monatsexporte[Jahr],$B$5,Monatsexporte[Monat],4,Monatsexporte[Konto],B39)</f>
        <v>0</v>
      </c>
      <c r="S39" s="22">
        <f t="shared" si="5"/>
        <v>0</v>
      </c>
      <c r="T39" s="15">
        <f>SUMIFS(Monatsexporte[Saldo],Monatsexporte[Jahr],$B$4,Monatsexporte[Monat],5,Monatsexporte[Konto],B39)</f>
        <v>73577</v>
      </c>
      <c r="U39" s="15">
        <f>SUMIFS(Monatsexporte[Saldo],Monatsexporte[Jahr],$B$5,Monatsexporte[Monat],5,Monatsexporte[Konto],B39)</f>
        <v>0</v>
      </c>
      <c r="V39" s="22">
        <f t="shared" si="6"/>
        <v>0</v>
      </c>
      <c r="W39" s="15">
        <f>SUMIFS(Monatsexporte[Saldo],Monatsexporte[Jahr],$B$4,Monatsexporte[Monat],6,Monatsexporte[Konto],B39)</f>
        <v>0</v>
      </c>
      <c r="X39" s="15">
        <f>SUMIFS(Monatsexporte[Saldo],Monatsexporte[Jahr],$B$5,Monatsexporte[Monat],6,Monatsexporte[Konto],B39)</f>
        <v>0</v>
      </c>
      <c r="Y39" s="22">
        <f t="shared" si="7"/>
        <v>0</v>
      </c>
      <c r="Z39" s="15">
        <f>SUMIFS(Monatsexporte[Saldo],Monatsexporte[Jahr],$B$4,Monatsexporte[Monat],7,Monatsexporte[Konto],B39)</f>
        <v>0</v>
      </c>
      <c r="AA39" s="15">
        <f>SUMIFS(Monatsexporte[Saldo],Monatsexporte[Jahr],$B$5,Monatsexporte[Monat],7,Monatsexporte[Konto],B39)</f>
        <v>0</v>
      </c>
      <c r="AB39" s="22">
        <f t="shared" si="8"/>
        <v>0</v>
      </c>
      <c r="AC39" s="15">
        <f>SUMIFS(Monatsexporte[Saldo],Monatsexporte[Jahr],$B$4,Monatsexporte[Monat],8,Monatsexporte[Konto],B39)</f>
        <v>0</v>
      </c>
      <c r="AD39" s="15">
        <f>SUMIFS(Monatsexporte[Saldo],Monatsexporte[Jahr],$B$5,Monatsexporte[Monat],8,Monatsexporte[Konto],B39)</f>
        <v>0</v>
      </c>
      <c r="AE39" s="22">
        <f t="shared" si="9"/>
        <v>0</v>
      </c>
      <c r="AF39" s="15">
        <f>SUMIFS(Monatsexporte[Saldo],Monatsexporte[Jahr],$B$4,Monatsexporte[Monat],9,Monatsexporte[Konto],B39)</f>
        <v>0</v>
      </c>
      <c r="AG39" s="15">
        <f>SUMIFS(Monatsexporte[Saldo],Monatsexporte[Jahr],$B$5,Monatsexporte[Monat],9,Monatsexporte[Konto],B39)</f>
        <v>0</v>
      </c>
      <c r="AH39" s="22">
        <f t="shared" si="10"/>
        <v>0</v>
      </c>
      <c r="AI39" s="15">
        <f>SUMIFS(Monatsexporte[Saldo],Monatsexporte[Jahr],$B$4,Monatsexporte[Monat],10,Monatsexporte[Konto],B39)</f>
        <v>0</v>
      </c>
      <c r="AJ39" s="15">
        <f>SUMIFS(Monatsexporte[Saldo],Monatsexporte[Jahr],$B$5,Monatsexporte[Monat],10,Monatsexporte[Konto],B39)</f>
        <v>0</v>
      </c>
      <c r="AK39" s="22">
        <f t="shared" si="11"/>
        <v>0</v>
      </c>
      <c r="AL39" s="15">
        <f>SUMIFS(Monatsexporte[Saldo],Monatsexporte[Jahr],$B$4,Monatsexporte[Monat],11,Monatsexporte[Konto],B39)</f>
        <v>0</v>
      </c>
      <c r="AM39" s="15">
        <f>SUMIFS(Monatsexporte[Saldo],Monatsexporte[Jahr],$B$5,Monatsexporte[Monat],11,Monatsexporte[Konto],B39)</f>
        <v>0</v>
      </c>
      <c r="AN39" s="22">
        <f t="shared" si="12"/>
        <v>0</v>
      </c>
      <c r="AO39" s="15">
        <f>SUMIFS(Monatsexporte[Saldo],Monatsexporte[Jahr],$B$4,Monatsexporte[Monat],12,Monatsexporte[Konto],B39)</f>
        <v>0</v>
      </c>
      <c r="AP39" s="15">
        <f>SUMIFS(Monatsexporte[Saldo],Monatsexporte[Jahr],$B$5,Monatsexporte[Monat],12,Monatsexporte[Konto],B39)</f>
        <v>0</v>
      </c>
      <c r="AQ39" s="22">
        <f t="shared" si="13"/>
        <v>0</v>
      </c>
    </row>
    <row r="40" spans="1:43" collapsed="1" x14ac:dyDescent="0.45">
      <c r="A40" s="1" t="s">
        <v>422</v>
      </c>
      <c r="B40" s="39" t="s">
        <v>423</v>
      </c>
      <c r="C40" s="15">
        <f>SUM(C34:C39)</f>
        <v>87404</v>
      </c>
      <c r="D40" s="15">
        <f ca="1">SUM(D34:D39)</f>
        <v>262210.89</v>
      </c>
      <c r="E40" s="15">
        <f ca="1">SUM(E34:E39)</f>
        <v>0</v>
      </c>
      <c r="F40" s="15">
        <f t="shared" ca="1" si="0"/>
        <v>262210.89</v>
      </c>
      <c r="G40" s="22">
        <f t="shared" ca="1" si="1"/>
        <v>0</v>
      </c>
      <c r="H40" s="15">
        <f>SUM(H34:H39)</f>
        <v>0</v>
      </c>
      <c r="I40" s="15">
        <f>SUM(I34:I39)</f>
        <v>0</v>
      </c>
      <c r="J40" s="22">
        <f t="shared" si="2"/>
        <v>0</v>
      </c>
      <c r="K40" s="15">
        <f>SUM(K34:K39)</f>
        <v>0</v>
      </c>
      <c r="L40" s="15">
        <f>SUM(L34:L39)</f>
        <v>0</v>
      </c>
      <c r="M40" s="22">
        <f t="shared" si="3"/>
        <v>0</v>
      </c>
      <c r="N40" s="15">
        <f>SUM(N34:N39)</f>
        <v>87403.63</v>
      </c>
      <c r="O40" s="15">
        <f>SUM(O34:O39)</f>
        <v>0</v>
      </c>
      <c r="P40" s="22">
        <f t="shared" si="4"/>
        <v>0</v>
      </c>
      <c r="Q40" s="15">
        <f>SUM(Q34:Q39)</f>
        <v>87403.63</v>
      </c>
      <c r="R40" s="15">
        <f>SUM(R34:R39)</f>
        <v>0</v>
      </c>
      <c r="S40" s="22">
        <f t="shared" si="5"/>
        <v>0</v>
      </c>
      <c r="T40" s="15">
        <f>SUM(T34:T39)</f>
        <v>87403.63</v>
      </c>
      <c r="U40" s="15">
        <f>SUM(U34:U39)</f>
        <v>0</v>
      </c>
      <c r="V40" s="22">
        <f t="shared" si="6"/>
        <v>0</v>
      </c>
      <c r="W40" s="15">
        <f>SUM(W34:W39)</f>
        <v>0</v>
      </c>
      <c r="X40" s="15">
        <f>SUM(X34:X39)</f>
        <v>0</v>
      </c>
      <c r="Y40" s="22">
        <f t="shared" si="7"/>
        <v>0</v>
      </c>
      <c r="Z40" s="15">
        <f>SUM(Z34:Z39)</f>
        <v>0</v>
      </c>
      <c r="AA40" s="15">
        <f>SUM(AA34:AA39)</f>
        <v>0</v>
      </c>
      <c r="AB40" s="22">
        <f t="shared" si="8"/>
        <v>0</v>
      </c>
      <c r="AC40" s="15">
        <f>SUM(AC34:AC39)</f>
        <v>0</v>
      </c>
      <c r="AD40" s="15">
        <f>SUM(AD34:AD39)</f>
        <v>0</v>
      </c>
      <c r="AE40" s="22">
        <f t="shared" si="9"/>
        <v>0</v>
      </c>
      <c r="AF40" s="15">
        <f>SUM(AF34:AF39)</f>
        <v>0</v>
      </c>
      <c r="AG40" s="15">
        <f>SUM(AG34:AG39)</f>
        <v>0</v>
      </c>
      <c r="AH40" s="22">
        <f t="shared" si="10"/>
        <v>0</v>
      </c>
      <c r="AI40" s="15">
        <f>SUM(AI34:AI39)</f>
        <v>0</v>
      </c>
      <c r="AJ40" s="15">
        <f>SUM(AJ34:AJ39)</f>
        <v>0</v>
      </c>
      <c r="AK40" s="22">
        <f t="shared" si="11"/>
        <v>0</v>
      </c>
      <c r="AL40" s="15">
        <f>SUM(AL34:AL39)</f>
        <v>0</v>
      </c>
      <c r="AM40" s="15">
        <f>SUM(AM34:AM39)</f>
        <v>0</v>
      </c>
      <c r="AN40" s="22">
        <f t="shared" si="12"/>
        <v>0</v>
      </c>
      <c r="AO40" s="15">
        <f>SUM(AO34:AO39)</f>
        <v>0</v>
      </c>
      <c r="AP40" s="15">
        <f>SUM(AP34:AP39)</f>
        <v>0</v>
      </c>
      <c r="AQ40" s="22">
        <f t="shared" si="13"/>
        <v>0</v>
      </c>
    </row>
    <row r="41" spans="1:43" x14ac:dyDescent="0.45">
      <c r="A41" s="1" t="s">
        <v>430</v>
      </c>
      <c r="B41" s="40"/>
      <c r="C41" s="16">
        <f>C23+C33+C40</f>
        <v>1194749</v>
      </c>
      <c r="D41" s="16">
        <f ca="1">D23+D33+D40</f>
        <v>3584241.72</v>
      </c>
      <c r="E41" s="16">
        <f ca="1">E23+E33+E40</f>
        <v>0</v>
      </c>
      <c r="F41" s="16">
        <f t="shared" ca="1" si="0"/>
        <v>3584241.72</v>
      </c>
      <c r="G41" s="23">
        <f t="shared" ca="1" si="1"/>
        <v>0</v>
      </c>
      <c r="H41" s="15">
        <f>H23+H33+H40</f>
        <v>0</v>
      </c>
      <c r="I41" s="15">
        <f>I23+I33+I40</f>
        <v>0</v>
      </c>
      <c r="J41" s="22">
        <f t="shared" si="2"/>
        <v>0</v>
      </c>
      <c r="K41" s="15">
        <f>K23+K33+K40</f>
        <v>0</v>
      </c>
      <c r="L41" s="15">
        <f>L23+L33+L40</f>
        <v>0</v>
      </c>
      <c r="M41" s="22">
        <f t="shared" si="3"/>
        <v>0</v>
      </c>
      <c r="N41" s="15">
        <f>N23+N33+N40</f>
        <v>1194747.2400000002</v>
      </c>
      <c r="O41" s="15">
        <f>O23+O33+O40</f>
        <v>0</v>
      </c>
      <c r="P41" s="22">
        <f t="shared" si="4"/>
        <v>0</v>
      </c>
      <c r="Q41" s="15">
        <f>Q23+Q33+Q40</f>
        <v>1194747.2400000002</v>
      </c>
      <c r="R41" s="15">
        <f>R23+R33+R40</f>
        <v>0</v>
      </c>
      <c r="S41" s="22">
        <f t="shared" si="5"/>
        <v>0</v>
      </c>
      <c r="T41" s="15">
        <f>T23+T33+T40</f>
        <v>1194747.2400000002</v>
      </c>
      <c r="U41" s="15">
        <f>U23+U33+U40</f>
        <v>0</v>
      </c>
      <c r="V41" s="22">
        <f t="shared" si="6"/>
        <v>0</v>
      </c>
      <c r="W41" s="15">
        <f>W23+W33+W40</f>
        <v>0</v>
      </c>
      <c r="X41" s="15">
        <f>X23+X33+X40</f>
        <v>0</v>
      </c>
      <c r="Y41" s="22">
        <f t="shared" si="7"/>
        <v>0</v>
      </c>
      <c r="Z41" s="15">
        <f>Z23+Z33+Z40</f>
        <v>0</v>
      </c>
      <c r="AA41" s="15">
        <f>AA23+AA33+AA40</f>
        <v>0</v>
      </c>
      <c r="AB41" s="22">
        <f t="shared" si="8"/>
        <v>0</v>
      </c>
      <c r="AC41" s="15">
        <f>AC23+AC33+AC40</f>
        <v>0</v>
      </c>
      <c r="AD41" s="15">
        <f>AD23+AD33+AD40</f>
        <v>0</v>
      </c>
      <c r="AE41" s="22">
        <f t="shared" si="9"/>
        <v>0</v>
      </c>
      <c r="AF41" s="15">
        <f>AF23+AF33+AF40</f>
        <v>0</v>
      </c>
      <c r="AG41" s="15">
        <f>AG23+AG33+AG40</f>
        <v>0</v>
      </c>
      <c r="AH41" s="22">
        <f t="shared" si="10"/>
        <v>0</v>
      </c>
      <c r="AI41" s="15">
        <f>AI23+AI33+AI40</f>
        <v>0</v>
      </c>
      <c r="AJ41" s="15">
        <f>AJ23+AJ33+AJ40</f>
        <v>0</v>
      </c>
      <c r="AK41" s="22">
        <f t="shared" si="11"/>
        <v>0</v>
      </c>
      <c r="AL41" s="15">
        <f>AL23+AL33+AL40</f>
        <v>0</v>
      </c>
      <c r="AM41" s="15">
        <f>AM23+AM33+AM40</f>
        <v>0</v>
      </c>
      <c r="AN41" s="22">
        <f t="shared" si="12"/>
        <v>0</v>
      </c>
      <c r="AO41" s="15">
        <f>AO23+AO33+AO40</f>
        <v>0</v>
      </c>
      <c r="AP41" s="15">
        <f>AP23+AP33+AP40</f>
        <v>0</v>
      </c>
      <c r="AQ41" s="22">
        <f t="shared" si="13"/>
        <v>0</v>
      </c>
    </row>
    <row r="42" spans="1:43" x14ac:dyDescent="0.45">
      <c r="C42" s="15"/>
      <c r="D42" s="15"/>
      <c r="E42" s="15"/>
      <c r="F42" s="15"/>
      <c r="G42" s="22"/>
      <c r="H42" s="15"/>
      <c r="I42" s="15"/>
      <c r="J42" s="22"/>
      <c r="K42" s="15"/>
      <c r="L42" s="15"/>
      <c r="M42" s="22"/>
      <c r="N42" s="15"/>
      <c r="O42" s="15"/>
      <c r="P42" s="22"/>
      <c r="Q42" s="15"/>
      <c r="R42" s="15"/>
      <c r="S42" s="22"/>
      <c r="T42" s="15"/>
      <c r="U42" s="15"/>
      <c r="V42" s="22"/>
      <c r="W42" s="15"/>
      <c r="X42" s="15"/>
      <c r="Y42" s="22"/>
      <c r="Z42" s="15"/>
      <c r="AA42" s="15"/>
      <c r="AB42" s="22"/>
      <c r="AC42" s="15"/>
      <c r="AD42" s="15"/>
      <c r="AE42" s="22"/>
      <c r="AF42" s="15"/>
      <c r="AG42" s="15"/>
      <c r="AH42" s="22"/>
      <c r="AI42" s="15"/>
      <c r="AJ42" s="15"/>
      <c r="AK42" s="22"/>
      <c r="AL42" s="15"/>
      <c r="AM42" s="15"/>
      <c r="AN42" s="22"/>
      <c r="AO42" s="15"/>
      <c r="AP42" s="15"/>
      <c r="AQ42" s="22"/>
    </row>
    <row r="43" spans="1:43" x14ac:dyDescent="0.45">
      <c r="A43" s="11" t="s">
        <v>431</v>
      </c>
      <c r="B43" s="45"/>
      <c r="C43" s="17"/>
      <c r="D43" s="17"/>
      <c r="E43" s="17"/>
      <c r="F43" s="17"/>
      <c r="G43" s="24"/>
      <c r="H43" s="17"/>
      <c r="I43" s="17"/>
      <c r="J43" s="24"/>
      <c r="K43" s="17"/>
      <c r="L43" s="17"/>
      <c r="M43" s="24"/>
      <c r="N43" s="17"/>
      <c r="O43" s="17"/>
      <c r="P43" s="24"/>
      <c r="Q43" s="17"/>
      <c r="R43" s="17"/>
      <c r="S43" s="24"/>
      <c r="T43" s="17"/>
      <c r="U43" s="17"/>
      <c r="V43" s="24"/>
      <c r="W43" s="17"/>
      <c r="X43" s="17"/>
      <c r="Y43" s="24"/>
      <c r="Z43" s="17"/>
      <c r="AA43" s="17"/>
      <c r="AB43" s="24"/>
      <c r="AC43" s="17"/>
      <c r="AD43" s="17"/>
      <c r="AE43" s="24"/>
      <c r="AF43" s="17"/>
      <c r="AG43" s="17"/>
      <c r="AH43" s="24"/>
      <c r="AI43" s="17"/>
      <c r="AJ43" s="17"/>
      <c r="AK43" s="24"/>
      <c r="AL43" s="17"/>
      <c r="AM43" s="17"/>
      <c r="AN43" s="24"/>
      <c r="AO43" s="17"/>
      <c r="AP43" s="17"/>
      <c r="AQ43" s="24"/>
    </row>
    <row r="44" spans="1:43" hidden="1" outlineLevel="1" x14ac:dyDescent="0.45">
      <c r="A44" s="10" t="s">
        <v>434</v>
      </c>
      <c r="B44" s="39">
        <v>6800750</v>
      </c>
      <c r="C44" s="15">
        <v>11063</v>
      </c>
      <c r="D44" s="15">
        <f ca="1">SUMIFS(Monatsexporte[Saldo],Monatsexporte[Jahr],$B$4,Monatsexporte[Monat],"&lt;="&amp;$B$8,Monatsexporte[Konto],B44)</f>
        <v>33190.020000000004</v>
      </c>
      <c r="E44" s="15">
        <f ca="1">SUMIFS(Monatsexporte[Saldo],Monatsexporte[Jahr],$B$5,Monatsexporte[Monat],"&lt;="&amp;$B$8,Monatsexporte[Konto],B44)</f>
        <v>0</v>
      </c>
      <c r="F44" s="15">
        <f t="shared" ref="F44:F65" ca="1" si="14">D44-E44</f>
        <v>33190.020000000004</v>
      </c>
      <c r="G44" s="22">
        <f t="shared" ref="G44:G65" ca="1" si="15">IF(E44=0,0,D44/E44-1)</f>
        <v>0</v>
      </c>
      <c r="H44" s="15">
        <f>SUMIFS(Monatsexporte[Saldo],Monatsexporte[Jahr],$B$4,Monatsexporte[Monat],1,Monatsexporte[Konto],B44)</f>
        <v>0</v>
      </c>
      <c r="I44" s="15">
        <f>SUMIFS(Monatsexporte[Saldo],Monatsexporte[Jahr],$B$5,Monatsexporte[Monat],1,Monatsexporte[Konto],B44)</f>
        <v>0</v>
      </c>
      <c r="J44" s="22">
        <f t="shared" ref="J44:J65" si="16">IF(I44=0,0,H44/I44-1)</f>
        <v>0</v>
      </c>
      <c r="K44" s="15">
        <f>SUMIFS(Monatsexporte[Saldo],Monatsexporte[Jahr],$B$4,Monatsexporte[Monat],2,Monatsexporte[Konto],B44)</f>
        <v>0</v>
      </c>
      <c r="L44" s="15">
        <f>SUMIFS(Monatsexporte[Saldo],Monatsexporte[Jahr],$B$5,Monatsexporte[Monat],2,Monatsexporte[Konto],B44)</f>
        <v>0</v>
      </c>
      <c r="M44" s="22">
        <f t="shared" ref="M44:M65" si="17">IF(L44=0,0,K44/L44-1)</f>
        <v>0</v>
      </c>
      <c r="N44" s="15">
        <f>SUMIFS(Monatsexporte[Saldo],Monatsexporte[Jahr],$B$4,Monatsexporte[Monat],3,Monatsexporte[Konto],B44)</f>
        <v>11063.34</v>
      </c>
      <c r="O44" s="15">
        <f>SUMIFS(Monatsexporte[Saldo],Monatsexporte[Jahr],$B$5,Monatsexporte[Monat],3,Monatsexporte[Konto],B44)</f>
        <v>0</v>
      </c>
      <c r="P44" s="22">
        <f t="shared" ref="P44:P65" si="18">IF(O44=0,0,N44/O44-1)</f>
        <v>0</v>
      </c>
      <c r="Q44" s="15">
        <f>SUMIFS(Monatsexporte[Saldo],Monatsexporte[Jahr],$B$4,Monatsexporte[Monat],4,Monatsexporte[Konto],B44)</f>
        <v>11063.34</v>
      </c>
      <c r="R44" s="15">
        <f>SUMIFS(Monatsexporte[Saldo],Monatsexporte[Jahr],$B$5,Monatsexporte[Monat],4,Monatsexporte[Konto],B44)</f>
        <v>0</v>
      </c>
      <c r="S44" s="22">
        <f t="shared" ref="S44:S65" si="19">IF(R44=0,0,Q44/R44-1)</f>
        <v>0</v>
      </c>
      <c r="T44" s="15">
        <f>SUMIFS(Monatsexporte[Saldo],Monatsexporte[Jahr],$B$4,Monatsexporte[Monat],5,Monatsexporte[Konto],B44)</f>
        <v>11063.34</v>
      </c>
      <c r="U44" s="15">
        <f>SUMIFS(Monatsexporte[Saldo],Monatsexporte[Jahr],$B$5,Monatsexporte[Monat],5,Monatsexporte[Konto],B44)</f>
        <v>0</v>
      </c>
      <c r="V44" s="22">
        <f t="shared" ref="V44:V65" si="20">IF(U44=0,0,T44/U44-1)</f>
        <v>0</v>
      </c>
      <c r="W44" s="15">
        <f>SUMIFS(Monatsexporte[Saldo],Monatsexporte[Jahr],$B$4,Monatsexporte[Monat],6,Monatsexporte[Konto],B44)</f>
        <v>0</v>
      </c>
      <c r="X44" s="15">
        <f>SUMIFS(Monatsexporte[Saldo],Monatsexporte[Jahr],$B$5,Monatsexporte[Monat],6,Monatsexporte[Konto],B44)</f>
        <v>0</v>
      </c>
      <c r="Y44" s="22">
        <f t="shared" ref="Y44:Y65" si="21">IF(X44=0,0,W44/X44-1)</f>
        <v>0</v>
      </c>
      <c r="Z44" s="15">
        <f>SUMIFS(Monatsexporte[Saldo],Monatsexporte[Jahr],$B$4,Monatsexporte[Monat],7,Monatsexporte[Konto],B44)</f>
        <v>0</v>
      </c>
      <c r="AA44" s="15">
        <f>SUMIFS(Monatsexporte[Saldo],Monatsexporte[Jahr],$B$5,Monatsexporte[Monat],7,Monatsexporte[Konto],B44)</f>
        <v>0</v>
      </c>
      <c r="AB44" s="22">
        <f t="shared" ref="AB44:AB65" si="22">IF(AA44=0,0,Z44/AA44-1)</f>
        <v>0</v>
      </c>
      <c r="AC44" s="15">
        <f>SUMIFS(Monatsexporte[Saldo],Monatsexporte[Jahr],$B$4,Monatsexporte[Monat],8,Monatsexporte[Konto],B44)</f>
        <v>0</v>
      </c>
      <c r="AD44" s="15">
        <f>SUMIFS(Monatsexporte[Saldo],Monatsexporte[Jahr],$B$5,Monatsexporte[Monat],8,Monatsexporte[Konto],B44)</f>
        <v>0</v>
      </c>
      <c r="AE44" s="22">
        <f t="shared" ref="AE44:AE65" si="23">IF(AD44=0,0,AC44/AD44-1)</f>
        <v>0</v>
      </c>
      <c r="AF44" s="15">
        <f>SUMIFS(Monatsexporte[Saldo],Monatsexporte[Jahr],$B$4,Monatsexporte[Monat],9,Monatsexporte[Konto],B44)</f>
        <v>0</v>
      </c>
      <c r="AG44" s="15">
        <f>SUMIFS(Monatsexporte[Saldo],Monatsexporte[Jahr],$B$5,Monatsexporte[Monat],9,Monatsexporte[Konto],B44)</f>
        <v>0</v>
      </c>
      <c r="AH44" s="22">
        <f t="shared" ref="AH44:AH65" si="24">IF(AG44=0,0,AF44/AG44-1)</f>
        <v>0</v>
      </c>
      <c r="AI44" s="15">
        <f>SUMIFS(Monatsexporte[Saldo],Monatsexporte[Jahr],$B$4,Monatsexporte[Monat],10,Monatsexporte[Konto],B44)</f>
        <v>0</v>
      </c>
      <c r="AJ44" s="15">
        <f>SUMIFS(Monatsexporte[Saldo],Monatsexporte[Jahr],$B$5,Monatsexporte[Monat],10,Monatsexporte[Konto],B44)</f>
        <v>0</v>
      </c>
      <c r="AK44" s="22">
        <f t="shared" ref="AK44:AK65" si="25">IF(AJ44=0,0,AI44/AJ44-1)</f>
        <v>0</v>
      </c>
      <c r="AL44" s="15">
        <f>SUMIFS(Monatsexporte[Saldo],Monatsexporte[Jahr],$B$4,Monatsexporte[Monat],11,Monatsexporte[Konto],B44)</f>
        <v>0</v>
      </c>
      <c r="AM44" s="15">
        <f>SUMIFS(Monatsexporte[Saldo],Monatsexporte[Jahr],$B$5,Monatsexporte[Monat],11,Monatsexporte[Konto],B44)</f>
        <v>0</v>
      </c>
      <c r="AN44" s="22">
        <f t="shared" ref="AN44:AN65" si="26">IF(AM44=0,0,AL44/AM44-1)</f>
        <v>0</v>
      </c>
      <c r="AO44" s="15">
        <f>SUMIFS(Monatsexporte[Saldo],Monatsexporte[Jahr],$B$4,Monatsexporte[Monat],12,Monatsexporte[Konto],B44)</f>
        <v>0</v>
      </c>
      <c r="AP44" s="15">
        <f>SUMIFS(Monatsexporte[Saldo],Monatsexporte[Jahr],$B$5,Monatsexporte[Monat],12,Monatsexporte[Konto],B44)</f>
        <v>0</v>
      </c>
      <c r="AQ44" s="22">
        <f t="shared" ref="AQ44:AQ65" si="27">IF(AP44=0,0,AO44/AP44-1)</f>
        <v>0</v>
      </c>
    </row>
    <row r="45" spans="1:43" hidden="1" outlineLevel="1" x14ac:dyDescent="0.45">
      <c r="A45" s="10" t="s">
        <v>435</v>
      </c>
      <c r="B45" s="39">
        <v>6800751</v>
      </c>
      <c r="C45" s="15">
        <v>7987</v>
      </c>
      <c r="D45" s="15">
        <f ca="1">SUMIFS(Monatsexporte[Saldo],Monatsexporte[Jahr],$B$4,Monatsexporte[Monat],"&lt;="&amp;$B$8,Monatsexporte[Konto],B45)</f>
        <v>23960.34</v>
      </c>
      <c r="E45" s="15">
        <f ca="1">SUMIFS(Monatsexporte[Saldo],Monatsexporte[Jahr],$B$5,Monatsexporte[Monat],"&lt;="&amp;$B$8,Monatsexporte[Konto],B45)</f>
        <v>0</v>
      </c>
      <c r="F45" s="15">
        <f t="shared" ca="1" si="14"/>
        <v>23960.34</v>
      </c>
      <c r="G45" s="22">
        <f t="shared" ca="1" si="15"/>
        <v>0</v>
      </c>
      <c r="H45" s="15">
        <f>SUMIFS(Monatsexporte[Saldo],Monatsexporte[Jahr],$B$4,Monatsexporte[Monat],1,Monatsexporte[Konto],B45)</f>
        <v>0</v>
      </c>
      <c r="I45" s="15">
        <f>SUMIFS(Monatsexporte[Saldo],Monatsexporte[Jahr],$B$5,Monatsexporte[Monat],1,Monatsexporte[Konto],B45)</f>
        <v>0</v>
      </c>
      <c r="J45" s="22">
        <f t="shared" si="16"/>
        <v>0</v>
      </c>
      <c r="K45" s="15">
        <f>SUMIFS(Monatsexporte[Saldo],Monatsexporte[Jahr],$B$4,Monatsexporte[Monat],2,Monatsexporte[Konto],B45)</f>
        <v>0</v>
      </c>
      <c r="L45" s="15">
        <f>SUMIFS(Monatsexporte[Saldo],Monatsexporte[Jahr],$B$5,Monatsexporte[Monat],2,Monatsexporte[Konto],B45)</f>
        <v>0</v>
      </c>
      <c r="M45" s="22">
        <f t="shared" si="17"/>
        <v>0</v>
      </c>
      <c r="N45" s="15">
        <f>SUMIFS(Monatsexporte[Saldo],Monatsexporte[Jahr],$B$4,Monatsexporte[Monat],3,Monatsexporte[Konto],B45)</f>
        <v>7986.78</v>
      </c>
      <c r="O45" s="15">
        <f>SUMIFS(Monatsexporte[Saldo],Monatsexporte[Jahr],$B$5,Monatsexporte[Monat],3,Monatsexporte[Konto],B45)</f>
        <v>0</v>
      </c>
      <c r="P45" s="22">
        <f t="shared" si="18"/>
        <v>0</v>
      </c>
      <c r="Q45" s="15">
        <f>SUMIFS(Monatsexporte[Saldo],Monatsexporte[Jahr],$B$4,Monatsexporte[Monat],4,Monatsexporte[Konto],B45)</f>
        <v>7986.78</v>
      </c>
      <c r="R45" s="15">
        <f>SUMIFS(Monatsexporte[Saldo],Monatsexporte[Jahr],$B$5,Monatsexporte[Monat],4,Monatsexporte[Konto],B45)</f>
        <v>0</v>
      </c>
      <c r="S45" s="22">
        <f t="shared" si="19"/>
        <v>0</v>
      </c>
      <c r="T45" s="15">
        <f>SUMIFS(Monatsexporte[Saldo],Monatsexporte[Jahr],$B$4,Monatsexporte[Monat],5,Monatsexporte[Konto],B45)</f>
        <v>7986.78</v>
      </c>
      <c r="U45" s="15">
        <f>SUMIFS(Monatsexporte[Saldo],Monatsexporte[Jahr],$B$5,Monatsexporte[Monat],5,Monatsexporte[Konto],B45)</f>
        <v>0</v>
      </c>
      <c r="V45" s="22">
        <f t="shared" si="20"/>
        <v>0</v>
      </c>
      <c r="W45" s="15">
        <f>SUMIFS(Monatsexporte[Saldo],Monatsexporte[Jahr],$B$4,Monatsexporte[Monat],6,Monatsexporte[Konto],B45)</f>
        <v>0</v>
      </c>
      <c r="X45" s="15">
        <f>SUMIFS(Monatsexporte[Saldo],Monatsexporte[Jahr],$B$5,Monatsexporte[Monat],6,Monatsexporte[Konto],B45)</f>
        <v>0</v>
      </c>
      <c r="Y45" s="22">
        <f t="shared" si="21"/>
        <v>0</v>
      </c>
      <c r="Z45" s="15">
        <f>SUMIFS(Monatsexporte[Saldo],Monatsexporte[Jahr],$B$4,Monatsexporte[Monat],7,Monatsexporte[Konto],B45)</f>
        <v>0</v>
      </c>
      <c r="AA45" s="15">
        <f>SUMIFS(Monatsexporte[Saldo],Monatsexporte[Jahr],$B$5,Monatsexporte[Monat],7,Monatsexporte[Konto],B45)</f>
        <v>0</v>
      </c>
      <c r="AB45" s="22">
        <f t="shared" si="22"/>
        <v>0</v>
      </c>
      <c r="AC45" s="15">
        <f>SUMIFS(Monatsexporte[Saldo],Monatsexporte[Jahr],$B$4,Monatsexporte[Monat],8,Monatsexporte[Konto],B45)</f>
        <v>0</v>
      </c>
      <c r="AD45" s="15">
        <f>SUMIFS(Monatsexporte[Saldo],Monatsexporte[Jahr],$B$5,Monatsexporte[Monat],8,Monatsexporte[Konto],B45)</f>
        <v>0</v>
      </c>
      <c r="AE45" s="22">
        <f t="shared" si="23"/>
        <v>0</v>
      </c>
      <c r="AF45" s="15">
        <f>SUMIFS(Monatsexporte[Saldo],Monatsexporte[Jahr],$B$4,Monatsexporte[Monat],9,Monatsexporte[Konto],B45)</f>
        <v>0</v>
      </c>
      <c r="AG45" s="15">
        <f>SUMIFS(Monatsexporte[Saldo],Monatsexporte[Jahr],$B$5,Monatsexporte[Monat],9,Monatsexporte[Konto],B45)</f>
        <v>0</v>
      </c>
      <c r="AH45" s="22">
        <f t="shared" si="24"/>
        <v>0</v>
      </c>
      <c r="AI45" s="15">
        <f>SUMIFS(Monatsexporte[Saldo],Monatsexporte[Jahr],$B$4,Monatsexporte[Monat],10,Monatsexporte[Konto],B45)</f>
        <v>0</v>
      </c>
      <c r="AJ45" s="15">
        <f>SUMIFS(Monatsexporte[Saldo],Monatsexporte[Jahr],$B$5,Monatsexporte[Monat],10,Monatsexporte[Konto],B45)</f>
        <v>0</v>
      </c>
      <c r="AK45" s="22">
        <f t="shared" si="25"/>
        <v>0</v>
      </c>
      <c r="AL45" s="15">
        <f>SUMIFS(Monatsexporte[Saldo],Monatsexporte[Jahr],$B$4,Monatsexporte[Monat],11,Monatsexporte[Konto],B45)</f>
        <v>0</v>
      </c>
      <c r="AM45" s="15">
        <f>SUMIFS(Monatsexporte[Saldo],Monatsexporte[Jahr],$B$5,Monatsexporte[Monat],11,Monatsexporte[Konto],B45)</f>
        <v>0</v>
      </c>
      <c r="AN45" s="22">
        <f t="shared" si="26"/>
        <v>0</v>
      </c>
      <c r="AO45" s="15">
        <f>SUMIFS(Monatsexporte[Saldo],Monatsexporte[Jahr],$B$4,Monatsexporte[Monat],12,Monatsexporte[Konto],B45)</f>
        <v>0</v>
      </c>
      <c r="AP45" s="15">
        <f>SUMIFS(Monatsexporte[Saldo],Monatsexporte[Jahr],$B$5,Monatsexporte[Monat],12,Monatsexporte[Konto],B45)</f>
        <v>0</v>
      </c>
      <c r="AQ45" s="22">
        <f t="shared" si="27"/>
        <v>0</v>
      </c>
    </row>
    <row r="46" spans="1:43" hidden="1" outlineLevel="1" x14ac:dyDescent="0.45">
      <c r="A46" s="10" t="s">
        <v>436</v>
      </c>
      <c r="B46" s="39">
        <v>680201010</v>
      </c>
      <c r="C46" s="15">
        <v>490</v>
      </c>
      <c r="D46" s="15">
        <f ca="1">SUMIFS(Monatsexporte[Saldo],Monatsexporte[Jahr],$B$4,Monatsexporte[Monat],"&lt;="&amp;$B$8,Monatsexporte[Konto],B46)</f>
        <v>1468.65</v>
      </c>
      <c r="E46" s="15">
        <f ca="1">SUMIFS(Monatsexporte[Saldo],Monatsexporte[Jahr],$B$5,Monatsexporte[Monat],"&lt;="&amp;$B$8,Monatsexporte[Konto],B46)</f>
        <v>0</v>
      </c>
      <c r="F46" s="15">
        <f t="shared" ca="1" si="14"/>
        <v>1468.65</v>
      </c>
      <c r="G46" s="22">
        <f t="shared" ca="1" si="15"/>
        <v>0</v>
      </c>
      <c r="H46" s="15">
        <f>SUMIFS(Monatsexporte[Saldo],Monatsexporte[Jahr],$B$4,Monatsexporte[Monat],1,Monatsexporte[Konto],B46)</f>
        <v>0</v>
      </c>
      <c r="I46" s="15">
        <f>SUMIFS(Monatsexporte[Saldo],Monatsexporte[Jahr],$B$5,Monatsexporte[Monat],1,Monatsexporte[Konto],B46)</f>
        <v>0</v>
      </c>
      <c r="J46" s="22">
        <f t="shared" si="16"/>
        <v>0</v>
      </c>
      <c r="K46" s="15">
        <f>SUMIFS(Monatsexporte[Saldo],Monatsexporte[Jahr],$B$4,Monatsexporte[Monat],2,Monatsexporte[Konto],B46)</f>
        <v>0</v>
      </c>
      <c r="L46" s="15">
        <f>SUMIFS(Monatsexporte[Saldo],Monatsexporte[Jahr],$B$5,Monatsexporte[Monat],2,Monatsexporte[Konto],B46)</f>
        <v>0</v>
      </c>
      <c r="M46" s="22">
        <f t="shared" si="17"/>
        <v>0</v>
      </c>
      <c r="N46" s="15">
        <f>SUMIFS(Monatsexporte[Saldo],Monatsexporte[Jahr],$B$4,Monatsexporte[Monat],3,Monatsexporte[Konto],B46)</f>
        <v>489.55</v>
      </c>
      <c r="O46" s="15">
        <f>SUMIFS(Monatsexporte[Saldo],Monatsexporte[Jahr],$B$5,Monatsexporte[Monat],3,Monatsexporte[Konto],B46)</f>
        <v>0</v>
      </c>
      <c r="P46" s="22">
        <f t="shared" si="18"/>
        <v>0</v>
      </c>
      <c r="Q46" s="15">
        <f>SUMIFS(Monatsexporte[Saldo],Monatsexporte[Jahr],$B$4,Monatsexporte[Monat],4,Monatsexporte[Konto],B46)</f>
        <v>489.55</v>
      </c>
      <c r="R46" s="15">
        <f>SUMIFS(Monatsexporte[Saldo],Monatsexporte[Jahr],$B$5,Monatsexporte[Monat],4,Monatsexporte[Konto],B46)</f>
        <v>0</v>
      </c>
      <c r="S46" s="22">
        <f t="shared" si="19"/>
        <v>0</v>
      </c>
      <c r="T46" s="15">
        <f>SUMIFS(Monatsexporte[Saldo],Monatsexporte[Jahr],$B$4,Monatsexporte[Monat],5,Monatsexporte[Konto],B46)</f>
        <v>489.55</v>
      </c>
      <c r="U46" s="15">
        <f>SUMIFS(Monatsexporte[Saldo],Monatsexporte[Jahr],$B$5,Monatsexporte[Monat],5,Monatsexporte[Konto],B46)</f>
        <v>0</v>
      </c>
      <c r="V46" s="22">
        <f t="shared" si="20"/>
        <v>0</v>
      </c>
      <c r="W46" s="15">
        <f>SUMIFS(Monatsexporte[Saldo],Monatsexporte[Jahr],$B$4,Monatsexporte[Monat],6,Monatsexporte[Konto],B46)</f>
        <v>0</v>
      </c>
      <c r="X46" s="15">
        <f>SUMIFS(Monatsexporte[Saldo],Monatsexporte[Jahr],$B$5,Monatsexporte[Monat],6,Monatsexporte[Konto],B46)</f>
        <v>0</v>
      </c>
      <c r="Y46" s="22">
        <f t="shared" si="21"/>
        <v>0</v>
      </c>
      <c r="Z46" s="15">
        <f>SUMIFS(Monatsexporte[Saldo],Monatsexporte[Jahr],$B$4,Monatsexporte[Monat],7,Monatsexporte[Konto],B46)</f>
        <v>0</v>
      </c>
      <c r="AA46" s="15">
        <f>SUMIFS(Monatsexporte[Saldo],Monatsexporte[Jahr],$B$5,Monatsexporte[Monat],7,Monatsexporte[Konto],B46)</f>
        <v>0</v>
      </c>
      <c r="AB46" s="22">
        <f t="shared" si="22"/>
        <v>0</v>
      </c>
      <c r="AC46" s="15">
        <f>SUMIFS(Monatsexporte[Saldo],Monatsexporte[Jahr],$B$4,Monatsexporte[Monat],8,Monatsexporte[Konto],B46)</f>
        <v>0</v>
      </c>
      <c r="AD46" s="15">
        <f>SUMIFS(Monatsexporte[Saldo],Monatsexporte[Jahr],$B$5,Monatsexporte[Monat],8,Monatsexporte[Konto],B46)</f>
        <v>0</v>
      </c>
      <c r="AE46" s="22">
        <f t="shared" si="23"/>
        <v>0</v>
      </c>
      <c r="AF46" s="15">
        <f>SUMIFS(Monatsexporte[Saldo],Monatsexporte[Jahr],$B$4,Monatsexporte[Monat],9,Monatsexporte[Konto],B46)</f>
        <v>0</v>
      </c>
      <c r="AG46" s="15">
        <f>SUMIFS(Monatsexporte[Saldo],Monatsexporte[Jahr],$B$5,Monatsexporte[Monat],9,Monatsexporte[Konto],B46)</f>
        <v>0</v>
      </c>
      <c r="AH46" s="22">
        <f t="shared" si="24"/>
        <v>0</v>
      </c>
      <c r="AI46" s="15">
        <f>SUMIFS(Monatsexporte[Saldo],Monatsexporte[Jahr],$B$4,Monatsexporte[Monat],10,Monatsexporte[Konto],B46)</f>
        <v>0</v>
      </c>
      <c r="AJ46" s="15">
        <f>SUMIFS(Monatsexporte[Saldo],Monatsexporte[Jahr],$B$5,Monatsexporte[Monat],10,Monatsexporte[Konto],B46)</f>
        <v>0</v>
      </c>
      <c r="AK46" s="22">
        <f t="shared" si="25"/>
        <v>0</v>
      </c>
      <c r="AL46" s="15">
        <f>SUMIFS(Monatsexporte[Saldo],Monatsexporte[Jahr],$B$4,Monatsexporte[Monat],11,Monatsexporte[Konto],B46)</f>
        <v>0</v>
      </c>
      <c r="AM46" s="15">
        <f>SUMIFS(Monatsexporte[Saldo],Monatsexporte[Jahr],$B$5,Monatsexporte[Monat],11,Monatsexporte[Konto],B46)</f>
        <v>0</v>
      </c>
      <c r="AN46" s="22">
        <f t="shared" si="26"/>
        <v>0</v>
      </c>
      <c r="AO46" s="15">
        <f>SUMIFS(Monatsexporte[Saldo],Monatsexporte[Jahr],$B$4,Monatsexporte[Monat],12,Monatsexporte[Konto],B46)</f>
        <v>0</v>
      </c>
      <c r="AP46" s="15">
        <f>SUMIFS(Monatsexporte[Saldo],Monatsexporte[Jahr],$B$5,Monatsexporte[Monat],12,Monatsexporte[Konto],B46)</f>
        <v>0</v>
      </c>
      <c r="AQ46" s="22">
        <f t="shared" si="27"/>
        <v>0</v>
      </c>
    </row>
    <row r="47" spans="1:43" hidden="1" outlineLevel="1" x14ac:dyDescent="0.45">
      <c r="A47" s="10" t="s">
        <v>437</v>
      </c>
      <c r="B47" s="39">
        <v>680202530</v>
      </c>
      <c r="C47" s="15">
        <v>1535</v>
      </c>
      <c r="D47" s="15">
        <f ca="1">SUMIFS(Monatsexporte[Saldo],Monatsexporte[Jahr],$B$4,Monatsexporte[Monat],"&lt;="&amp;$B$8,Monatsexporte[Konto],B47)</f>
        <v>4604.7300000000005</v>
      </c>
      <c r="E47" s="15">
        <f ca="1">SUMIFS(Monatsexporte[Saldo],Monatsexporte[Jahr],$B$5,Monatsexporte[Monat],"&lt;="&amp;$B$8,Monatsexporte[Konto],B47)</f>
        <v>0</v>
      </c>
      <c r="F47" s="15">
        <f t="shared" ca="1" si="14"/>
        <v>4604.7300000000005</v>
      </c>
      <c r="G47" s="22">
        <f t="shared" ca="1" si="15"/>
        <v>0</v>
      </c>
      <c r="H47" s="15">
        <f>SUMIFS(Monatsexporte[Saldo],Monatsexporte[Jahr],$B$4,Monatsexporte[Monat],1,Monatsexporte[Konto],B47)</f>
        <v>0</v>
      </c>
      <c r="I47" s="15">
        <f>SUMIFS(Monatsexporte[Saldo],Monatsexporte[Jahr],$B$5,Monatsexporte[Monat],1,Monatsexporte[Konto],B47)</f>
        <v>0</v>
      </c>
      <c r="J47" s="22">
        <f t="shared" si="16"/>
        <v>0</v>
      </c>
      <c r="K47" s="15">
        <f>SUMIFS(Monatsexporte[Saldo],Monatsexporte[Jahr],$B$4,Monatsexporte[Monat],2,Monatsexporte[Konto],B47)</f>
        <v>0</v>
      </c>
      <c r="L47" s="15">
        <f>SUMIFS(Monatsexporte[Saldo],Monatsexporte[Jahr],$B$5,Monatsexporte[Monat],2,Monatsexporte[Konto],B47)</f>
        <v>0</v>
      </c>
      <c r="M47" s="22">
        <f t="shared" si="17"/>
        <v>0</v>
      </c>
      <c r="N47" s="15">
        <f>SUMIFS(Monatsexporte[Saldo],Monatsexporte[Jahr],$B$4,Monatsexporte[Monat],3,Monatsexporte[Konto],B47)</f>
        <v>1534.91</v>
      </c>
      <c r="O47" s="15">
        <f>SUMIFS(Monatsexporte[Saldo],Monatsexporte[Jahr],$B$5,Monatsexporte[Monat],3,Monatsexporte[Konto],B47)</f>
        <v>0</v>
      </c>
      <c r="P47" s="22">
        <f t="shared" si="18"/>
        <v>0</v>
      </c>
      <c r="Q47" s="15">
        <f>SUMIFS(Monatsexporte[Saldo],Monatsexporte[Jahr],$B$4,Monatsexporte[Monat],4,Monatsexporte[Konto],B47)</f>
        <v>1534.91</v>
      </c>
      <c r="R47" s="15">
        <f>SUMIFS(Monatsexporte[Saldo],Monatsexporte[Jahr],$B$5,Monatsexporte[Monat],4,Monatsexporte[Konto],B47)</f>
        <v>0</v>
      </c>
      <c r="S47" s="22">
        <f t="shared" si="19"/>
        <v>0</v>
      </c>
      <c r="T47" s="15">
        <f>SUMIFS(Monatsexporte[Saldo],Monatsexporte[Jahr],$B$4,Monatsexporte[Monat],5,Monatsexporte[Konto],B47)</f>
        <v>1534.91</v>
      </c>
      <c r="U47" s="15">
        <f>SUMIFS(Monatsexporte[Saldo],Monatsexporte[Jahr],$B$5,Monatsexporte[Monat],5,Monatsexporte[Konto],B47)</f>
        <v>0</v>
      </c>
      <c r="V47" s="22">
        <f t="shared" si="20"/>
        <v>0</v>
      </c>
      <c r="W47" s="15">
        <f>SUMIFS(Monatsexporte[Saldo],Monatsexporte[Jahr],$B$4,Monatsexporte[Monat],6,Monatsexporte[Konto],B47)</f>
        <v>0</v>
      </c>
      <c r="X47" s="15">
        <f>SUMIFS(Monatsexporte[Saldo],Monatsexporte[Jahr],$B$5,Monatsexporte[Monat],6,Monatsexporte[Konto],B47)</f>
        <v>0</v>
      </c>
      <c r="Y47" s="22">
        <f t="shared" si="21"/>
        <v>0</v>
      </c>
      <c r="Z47" s="15">
        <f>SUMIFS(Monatsexporte[Saldo],Monatsexporte[Jahr],$B$4,Monatsexporte[Monat],7,Monatsexporte[Konto],B47)</f>
        <v>0</v>
      </c>
      <c r="AA47" s="15">
        <f>SUMIFS(Monatsexporte[Saldo],Monatsexporte[Jahr],$B$5,Monatsexporte[Monat],7,Monatsexporte[Konto],B47)</f>
        <v>0</v>
      </c>
      <c r="AB47" s="22">
        <f t="shared" si="22"/>
        <v>0</v>
      </c>
      <c r="AC47" s="15">
        <f>SUMIFS(Monatsexporte[Saldo],Monatsexporte[Jahr],$B$4,Monatsexporte[Monat],8,Monatsexporte[Konto],B47)</f>
        <v>0</v>
      </c>
      <c r="AD47" s="15">
        <f>SUMIFS(Monatsexporte[Saldo],Monatsexporte[Jahr],$B$5,Monatsexporte[Monat],8,Monatsexporte[Konto],B47)</f>
        <v>0</v>
      </c>
      <c r="AE47" s="22">
        <f t="shared" si="23"/>
        <v>0</v>
      </c>
      <c r="AF47" s="15">
        <f>SUMIFS(Monatsexporte[Saldo],Monatsexporte[Jahr],$B$4,Monatsexporte[Monat],9,Monatsexporte[Konto],B47)</f>
        <v>0</v>
      </c>
      <c r="AG47" s="15">
        <f>SUMIFS(Monatsexporte[Saldo],Monatsexporte[Jahr],$B$5,Monatsexporte[Monat],9,Monatsexporte[Konto],B47)</f>
        <v>0</v>
      </c>
      <c r="AH47" s="22">
        <f t="shared" si="24"/>
        <v>0</v>
      </c>
      <c r="AI47" s="15">
        <f>SUMIFS(Monatsexporte[Saldo],Monatsexporte[Jahr],$B$4,Monatsexporte[Monat],10,Monatsexporte[Konto],B47)</f>
        <v>0</v>
      </c>
      <c r="AJ47" s="15">
        <f>SUMIFS(Monatsexporte[Saldo],Monatsexporte[Jahr],$B$5,Monatsexporte[Monat],10,Monatsexporte[Konto],B47)</f>
        <v>0</v>
      </c>
      <c r="AK47" s="22">
        <f t="shared" si="25"/>
        <v>0</v>
      </c>
      <c r="AL47" s="15">
        <f>SUMIFS(Monatsexporte[Saldo],Monatsexporte[Jahr],$B$4,Monatsexporte[Monat],11,Monatsexporte[Konto],B47)</f>
        <v>0</v>
      </c>
      <c r="AM47" s="15">
        <f>SUMIFS(Monatsexporte[Saldo],Monatsexporte[Jahr],$B$5,Monatsexporte[Monat],11,Monatsexporte[Konto],B47)</f>
        <v>0</v>
      </c>
      <c r="AN47" s="22">
        <f t="shared" si="26"/>
        <v>0</v>
      </c>
      <c r="AO47" s="15">
        <f>SUMIFS(Monatsexporte[Saldo],Monatsexporte[Jahr],$B$4,Monatsexporte[Monat],12,Monatsexporte[Konto],B47)</f>
        <v>0</v>
      </c>
      <c r="AP47" s="15">
        <f>SUMIFS(Monatsexporte[Saldo],Monatsexporte[Jahr],$B$5,Monatsexporte[Monat],12,Monatsexporte[Konto],B47)</f>
        <v>0</v>
      </c>
      <c r="AQ47" s="22">
        <f t="shared" si="27"/>
        <v>0</v>
      </c>
    </row>
    <row r="48" spans="1:43" hidden="1" outlineLevel="1" x14ac:dyDescent="0.45">
      <c r="A48" s="10" t="s">
        <v>438</v>
      </c>
      <c r="B48" s="39">
        <v>680203024</v>
      </c>
      <c r="C48" s="15">
        <v>221</v>
      </c>
      <c r="D48" s="15">
        <f ca="1">SUMIFS(Monatsexporte[Saldo],Monatsexporte[Jahr],$B$4,Monatsexporte[Monat],"&lt;="&amp;$B$8,Monatsexporte[Konto],B48)</f>
        <v>661.65000000000009</v>
      </c>
      <c r="E48" s="15">
        <f ca="1">SUMIFS(Monatsexporte[Saldo],Monatsexporte[Jahr],$B$5,Monatsexporte[Monat],"&lt;="&amp;$B$8,Monatsexporte[Konto],B48)</f>
        <v>0</v>
      </c>
      <c r="F48" s="15">
        <f t="shared" ca="1" si="14"/>
        <v>661.65000000000009</v>
      </c>
      <c r="G48" s="22">
        <f t="shared" ca="1" si="15"/>
        <v>0</v>
      </c>
      <c r="H48" s="15">
        <f>SUMIFS(Monatsexporte[Saldo],Monatsexporte[Jahr],$B$4,Monatsexporte[Monat],1,Monatsexporte[Konto],B48)</f>
        <v>0</v>
      </c>
      <c r="I48" s="15">
        <f>SUMIFS(Monatsexporte[Saldo],Monatsexporte[Jahr],$B$5,Monatsexporte[Monat],1,Monatsexporte[Konto],B48)</f>
        <v>0</v>
      </c>
      <c r="J48" s="22">
        <f t="shared" si="16"/>
        <v>0</v>
      </c>
      <c r="K48" s="15">
        <f>SUMIFS(Monatsexporte[Saldo],Monatsexporte[Jahr],$B$4,Monatsexporte[Monat],2,Monatsexporte[Konto],B48)</f>
        <v>0</v>
      </c>
      <c r="L48" s="15">
        <f>SUMIFS(Monatsexporte[Saldo],Monatsexporte[Jahr],$B$5,Monatsexporte[Monat],2,Monatsexporte[Konto],B48)</f>
        <v>0</v>
      </c>
      <c r="M48" s="22">
        <f t="shared" si="17"/>
        <v>0</v>
      </c>
      <c r="N48" s="15">
        <f>SUMIFS(Monatsexporte[Saldo],Monatsexporte[Jahr],$B$4,Monatsexporte[Monat],3,Monatsexporte[Konto],B48)</f>
        <v>220.55</v>
      </c>
      <c r="O48" s="15">
        <f>SUMIFS(Monatsexporte[Saldo],Monatsexporte[Jahr],$B$5,Monatsexporte[Monat],3,Monatsexporte[Konto],B48)</f>
        <v>0</v>
      </c>
      <c r="P48" s="22">
        <f t="shared" si="18"/>
        <v>0</v>
      </c>
      <c r="Q48" s="15">
        <f>SUMIFS(Monatsexporte[Saldo],Monatsexporte[Jahr],$B$4,Monatsexporte[Monat],4,Monatsexporte[Konto],B48)</f>
        <v>220.55</v>
      </c>
      <c r="R48" s="15">
        <f>SUMIFS(Monatsexporte[Saldo],Monatsexporte[Jahr],$B$5,Monatsexporte[Monat],4,Monatsexporte[Konto],B48)</f>
        <v>0</v>
      </c>
      <c r="S48" s="22">
        <f t="shared" si="19"/>
        <v>0</v>
      </c>
      <c r="T48" s="15">
        <f>SUMIFS(Monatsexporte[Saldo],Monatsexporte[Jahr],$B$4,Monatsexporte[Monat],5,Monatsexporte[Konto],B48)</f>
        <v>220.55</v>
      </c>
      <c r="U48" s="15">
        <f>SUMIFS(Monatsexporte[Saldo],Monatsexporte[Jahr],$B$5,Monatsexporte[Monat],5,Monatsexporte[Konto],B48)</f>
        <v>0</v>
      </c>
      <c r="V48" s="22">
        <f t="shared" si="20"/>
        <v>0</v>
      </c>
      <c r="W48" s="15">
        <f>SUMIFS(Monatsexporte[Saldo],Monatsexporte[Jahr],$B$4,Monatsexporte[Monat],6,Monatsexporte[Konto],B48)</f>
        <v>0</v>
      </c>
      <c r="X48" s="15">
        <f>SUMIFS(Monatsexporte[Saldo],Monatsexporte[Jahr],$B$5,Monatsexporte[Monat],6,Monatsexporte[Konto],B48)</f>
        <v>0</v>
      </c>
      <c r="Y48" s="22">
        <f t="shared" si="21"/>
        <v>0</v>
      </c>
      <c r="Z48" s="15">
        <f>SUMIFS(Monatsexporte[Saldo],Monatsexporte[Jahr],$B$4,Monatsexporte[Monat],7,Monatsexporte[Konto],B48)</f>
        <v>0</v>
      </c>
      <c r="AA48" s="15">
        <f>SUMIFS(Monatsexporte[Saldo],Monatsexporte[Jahr],$B$5,Monatsexporte[Monat],7,Monatsexporte[Konto],B48)</f>
        <v>0</v>
      </c>
      <c r="AB48" s="22">
        <f t="shared" si="22"/>
        <v>0</v>
      </c>
      <c r="AC48" s="15">
        <f>SUMIFS(Monatsexporte[Saldo],Monatsexporte[Jahr],$B$4,Monatsexporte[Monat],8,Monatsexporte[Konto],B48)</f>
        <v>0</v>
      </c>
      <c r="AD48" s="15">
        <f>SUMIFS(Monatsexporte[Saldo],Monatsexporte[Jahr],$B$5,Monatsexporte[Monat],8,Monatsexporte[Konto],B48)</f>
        <v>0</v>
      </c>
      <c r="AE48" s="22">
        <f t="shared" si="23"/>
        <v>0</v>
      </c>
      <c r="AF48" s="15">
        <f>SUMIFS(Monatsexporte[Saldo],Monatsexporte[Jahr],$B$4,Monatsexporte[Monat],9,Monatsexporte[Konto],B48)</f>
        <v>0</v>
      </c>
      <c r="AG48" s="15">
        <f>SUMIFS(Monatsexporte[Saldo],Monatsexporte[Jahr],$B$5,Monatsexporte[Monat],9,Monatsexporte[Konto],B48)</f>
        <v>0</v>
      </c>
      <c r="AH48" s="22">
        <f t="shared" si="24"/>
        <v>0</v>
      </c>
      <c r="AI48" s="15">
        <f>SUMIFS(Monatsexporte[Saldo],Monatsexporte[Jahr],$B$4,Monatsexporte[Monat],10,Monatsexporte[Konto],B48)</f>
        <v>0</v>
      </c>
      <c r="AJ48" s="15">
        <f>SUMIFS(Monatsexporte[Saldo],Monatsexporte[Jahr],$B$5,Monatsexporte[Monat],10,Monatsexporte[Konto],B48)</f>
        <v>0</v>
      </c>
      <c r="AK48" s="22">
        <f t="shared" si="25"/>
        <v>0</v>
      </c>
      <c r="AL48" s="15">
        <f>SUMIFS(Monatsexporte[Saldo],Monatsexporte[Jahr],$B$4,Monatsexporte[Monat],11,Monatsexporte[Konto],B48)</f>
        <v>0</v>
      </c>
      <c r="AM48" s="15">
        <f>SUMIFS(Monatsexporte[Saldo],Monatsexporte[Jahr],$B$5,Monatsexporte[Monat],11,Monatsexporte[Konto],B48)</f>
        <v>0</v>
      </c>
      <c r="AN48" s="22">
        <f t="shared" si="26"/>
        <v>0</v>
      </c>
      <c r="AO48" s="15">
        <f>SUMIFS(Monatsexporte[Saldo],Monatsexporte[Jahr],$B$4,Monatsexporte[Monat],12,Monatsexporte[Konto],B48)</f>
        <v>0</v>
      </c>
      <c r="AP48" s="15">
        <f>SUMIFS(Monatsexporte[Saldo],Monatsexporte[Jahr],$B$5,Monatsexporte[Monat],12,Monatsexporte[Konto],B48)</f>
        <v>0</v>
      </c>
      <c r="AQ48" s="22">
        <f t="shared" si="27"/>
        <v>0</v>
      </c>
    </row>
    <row r="49" spans="1:43" hidden="1" outlineLevel="1" x14ac:dyDescent="0.45">
      <c r="A49" s="10" t="s">
        <v>439</v>
      </c>
      <c r="B49" s="39">
        <v>680203050</v>
      </c>
      <c r="C49" s="15">
        <v>83</v>
      </c>
      <c r="D49" s="15">
        <f ca="1">SUMIFS(Monatsexporte[Saldo],Monatsexporte[Jahr],$B$4,Monatsexporte[Monat],"&lt;="&amp;$B$8,Monatsexporte[Konto],B49)</f>
        <v>249.20999999999998</v>
      </c>
      <c r="E49" s="15">
        <f ca="1">SUMIFS(Monatsexporte[Saldo],Monatsexporte[Jahr],$B$5,Monatsexporte[Monat],"&lt;="&amp;$B$8,Monatsexporte[Konto],B49)</f>
        <v>0</v>
      </c>
      <c r="F49" s="15">
        <f t="shared" ca="1" si="14"/>
        <v>249.20999999999998</v>
      </c>
      <c r="G49" s="22">
        <f t="shared" ca="1" si="15"/>
        <v>0</v>
      </c>
      <c r="H49" s="15">
        <f>SUMIFS(Monatsexporte[Saldo],Monatsexporte[Jahr],$B$4,Monatsexporte[Monat],1,Monatsexporte[Konto],B49)</f>
        <v>0</v>
      </c>
      <c r="I49" s="15">
        <f>SUMIFS(Monatsexporte[Saldo],Monatsexporte[Jahr],$B$5,Monatsexporte[Monat],1,Monatsexporte[Konto],B49)</f>
        <v>0</v>
      </c>
      <c r="J49" s="22">
        <f t="shared" si="16"/>
        <v>0</v>
      </c>
      <c r="K49" s="15">
        <f>SUMIFS(Monatsexporte[Saldo],Monatsexporte[Jahr],$B$4,Monatsexporte[Monat],2,Monatsexporte[Konto],B49)</f>
        <v>0</v>
      </c>
      <c r="L49" s="15">
        <f>SUMIFS(Monatsexporte[Saldo],Monatsexporte[Jahr],$B$5,Monatsexporte[Monat],2,Monatsexporte[Konto],B49)</f>
        <v>0</v>
      </c>
      <c r="M49" s="22">
        <f t="shared" si="17"/>
        <v>0</v>
      </c>
      <c r="N49" s="15">
        <f>SUMIFS(Monatsexporte[Saldo],Monatsexporte[Jahr],$B$4,Monatsexporte[Monat],3,Monatsexporte[Konto],B49)</f>
        <v>83.07</v>
      </c>
      <c r="O49" s="15">
        <f>SUMIFS(Monatsexporte[Saldo],Monatsexporte[Jahr],$B$5,Monatsexporte[Monat],3,Monatsexporte[Konto],B49)</f>
        <v>0</v>
      </c>
      <c r="P49" s="22">
        <f t="shared" si="18"/>
        <v>0</v>
      </c>
      <c r="Q49" s="15">
        <f>SUMIFS(Monatsexporte[Saldo],Monatsexporte[Jahr],$B$4,Monatsexporte[Monat],4,Monatsexporte[Konto],B49)</f>
        <v>83.07</v>
      </c>
      <c r="R49" s="15">
        <f>SUMIFS(Monatsexporte[Saldo],Monatsexporte[Jahr],$B$5,Monatsexporte[Monat],4,Monatsexporte[Konto],B49)</f>
        <v>0</v>
      </c>
      <c r="S49" s="22">
        <f t="shared" si="19"/>
        <v>0</v>
      </c>
      <c r="T49" s="15">
        <f>SUMIFS(Monatsexporte[Saldo],Monatsexporte[Jahr],$B$4,Monatsexporte[Monat],5,Monatsexporte[Konto],B49)</f>
        <v>83.07</v>
      </c>
      <c r="U49" s="15">
        <f>SUMIFS(Monatsexporte[Saldo],Monatsexporte[Jahr],$B$5,Monatsexporte[Monat],5,Monatsexporte[Konto],B49)</f>
        <v>0</v>
      </c>
      <c r="V49" s="22">
        <f t="shared" si="20"/>
        <v>0</v>
      </c>
      <c r="W49" s="15">
        <f>SUMIFS(Monatsexporte[Saldo],Monatsexporte[Jahr],$B$4,Monatsexporte[Monat],6,Monatsexporte[Konto],B49)</f>
        <v>0</v>
      </c>
      <c r="X49" s="15">
        <f>SUMIFS(Monatsexporte[Saldo],Monatsexporte[Jahr],$B$5,Monatsexporte[Monat],6,Monatsexporte[Konto],B49)</f>
        <v>0</v>
      </c>
      <c r="Y49" s="22">
        <f t="shared" si="21"/>
        <v>0</v>
      </c>
      <c r="Z49" s="15">
        <f>SUMIFS(Monatsexporte[Saldo],Monatsexporte[Jahr],$B$4,Monatsexporte[Monat],7,Monatsexporte[Konto],B49)</f>
        <v>0</v>
      </c>
      <c r="AA49" s="15">
        <f>SUMIFS(Monatsexporte[Saldo],Monatsexporte[Jahr],$B$5,Monatsexporte[Monat],7,Monatsexporte[Konto],B49)</f>
        <v>0</v>
      </c>
      <c r="AB49" s="22">
        <f t="shared" si="22"/>
        <v>0</v>
      </c>
      <c r="AC49" s="15">
        <f>SUMIFS(Monatsexporte[Saldo],Monatsexporte[Jahr],$B$4,Monatsexporte[Monat],8,Monatsexporte[Konto],B49)</f>
        <v>0</v>
      </c>
      <c r="AD49" s="15">
        <f>SUMIFS(Monatsexporte[Saldo],Monatsexporte[Jahr],$B$5,Monatsexporte[Monat],8,Monatsexporte[Konto],B49)</f>
        <v>0</v>
      </c>
      <c r="AE49" s="22">
        <f t="shared" si="23"/>
        <v>0</v>
      </c>
      <c r="AF49" s="15">
        <f>SUMIFS(Monatsexporte[Saldo],Monatsexporte[Jahr],$B$4,Monatsexporte[Monat],9,Monatsexporte[Konto],B49)</f>
        <v>0</v>
      </c>
      <c r="AG49" s="15">
        <f>SUMIFS(Monatsexporte[Saldo],Monatsexporte[Jahr],$B$5,Monatsexporte[Monat],9,Monatsexporte[Konto],B49)</f>
        <v>0</v>
      </c>
      <c r="AH49" s="22">
        <f t="shared" si="24"/>
        <v>0</v>
      </c>
      <c r="AI49" s="15">
        <f>SUMIFS(Monatsexporte[Saldo],Monatsexporte[Jahr],$B$4,Monatsexporte[Monat],10,Monatsexporte[Konto],B49)</f>
        <v>0</v>
      </c>
      <c r="AJ49" s="15">
        <f>SUMIFS(Monatsexporte[Saldo],Monatsexporte[Jahr],$B$5,Monatsexporte[Monat],10,Monatsexporte[Konto],B49)</f>
        <v>0</v>
      </c>
      <c r="AK49" s="22">
        <f t="shared" si="25"/>
        <v>0</v>
      </c>
      <c r="AL49" s="15">
        <f>SUMIFS(Monatsexporte[Saldo],Monatsexporte[Jahr],$B$4,Monatsexporte[Monat],11,Monatsexporte[Konto],B49)</f>
        <v>0</v>
      </c>
      <c r="AM49" s="15">
        <f>SUMIFS(Monatsexporte[Saldo],Monatsexporte[Jahr],$B$5,Monatsexporte[Monat],11,Monatsexporte[Konto],B49)</f>
        <v>0</v>
      </c>
      <c r="AN49" s="22">
        <f t="shared" si="26"/>
        <v>0</v>
      </c>
      <c r="AO49" s="15">
        <f>SUMIFS(Monatsexporte[Saldo],Monatsexporte[Jahr],$B$4,Monatsexporte[Monat],12,Monatsexporte[Konto],B49)</f>
        <v>0</v>
      </c>
      <c r="AP49" s="15">
        <f>SUMIFS(Monatsexporte[Saldo],Monatsexporte[Jahr],$B$5,Monatsexporte[Monat],12,Monatsexporte[Konto],B49)</f>
        <v>0</v>
      </c>
      <c r="AQ49" s="22">
        <f t="shared" si="27"/>
        <v>0</v>
      </c>
    </row>
    <row r="50" spans="1:43" hidden="1" outlineLevel="1" x14ac:dyDescent="0.45">
      <c r="A50" s="10" t="s">
        <v>440</v>
      </c>
      <c r="B50" s="39">
        <v>6802510</v>
      </c>
      <c r="C50" s="15">
        <v>25720</v>
      </c>
      <c r="D50" s="15">
        <f ca="1">SUMIFS(Monatsexporte[Saldo],Monatsexporte[Jahr],$B$4,Monatsexporte[Monat],"&lt;="&amp;$B$8,Monatsexporte[Konto],B50)</f>
        <v>77160.299999999988</v>
      </c>
      <c r="E50" s="15">
        <f ca="1">SUMIFS(Monatsexporte[Saldo],Monatsexporte[Jahr],$B$5,Monatsexporte[Monat],"&lt;="&amp;$B$8,Monatsexporte[Konto],B50)</f>
        <v>0</v>
      </c>
      <c r="F50" s="15">
        <f t="shared" ca="1" si="14"/>
        <v>77160.299999999988</v>
      </c>
      <c r="G50" s="22">
        <f t="shared" ca="1" si="15"/>
        <v>0</v>
      </c>
      <c r="H50" s="15">
        <f>SUMIFS(Monatsexporte[Saldo],Monatsexporte[Jahr],$B$4,Monatsexporte[Monat],1,Monatsexporte[Konto],B50)</f>
        <v>0</v>
      </c>
      <c r="I50" s="15">
        <f>SUMIFS(Monatsexporte[Saldo],Monatsexporte[Jahr],$B$5,Monatsexporte[Monat],1,Monatsexporte[Konto],B50)</f>
        <v>0</v>
      </c>
      <c r="J50" s="22">
        <f t="shared" si="16"/>
        <v>0</v>
      </c>
      <c r="K50" s="15">
        <f>SUMIFS(Monatsexporte[Saldo],Monatsexporte[Jahr],$B$4,Monatsexporte[Monat],2,Monatsexporte[Konto],B50)</f>
        <v>0</v>
      </c>
      <c r="L50" s="15">
        <f>SUMIFS(Monatsexporte[Saldo],Monatsexporte[Jahr],$B$5,Monatsexporte[Monat],2,Monatsexporte[Konto],B50)</f>
        <v>0</v>
      </c>
      <c r="M50" s="22">
        <f t="shared" si="17"/>
        <v>0</v>
      </c>
      <c r="N50" s="15">
        <f>SUMIFS(Monatsexporte[Saldo],Monatsexporte[Jahr],$B$4,Monatsexporte[Monat],3,Monatsexporte[Konto],B50)</f>
        <v>25720.1</v>
      </c>
      <c r="O50" s="15">
        <f>SUMIFS(Monatsexporte[Saldo],Monatsexporte[Jahr],$B$5,Monatsexporte[Monat],3,Monatsexporte[Konto],B50)</f>
        <v>0</v>
      </c>
      <c r="P50" s="22">
        <f t="shared" si="18"/>
        <v>0</v>
      </c>
      <c r="Q50" s="15">
        <f>SUMIFS(Monatsexporte[Saldo],Monatsexporte[Jahr],$B$4,Monatsexporte[Monat],4,Monatsexporte[Konto],B50)</f>
        <v>25720.1</v>
      </c>
      <c r="R50" s="15">
        <f>SUMIFS(Monatsexporte[Saldo],Monatsexporte[Jahr],$B$5,Monatsexporte[Monat],4,Monatsexporte[Konto],B50)</f>
        <v>0</v>
      </c>
      <c r="S50" s="22">
        <f t="shared" si="19"/>
        <v>0</v>
      </c>
      <c r="T50" s="15">
        <f>SUMIFS(Monatsexporte[Saldo],Monatsexporte[Jahr],$B$4,Monatsexporte[Monat],5,Monatsexporte[Konto],B50)</f>
        <v>25720.1</v>
      </c>
      <c r="U50" s="15">
        <f>SUMIFS(Monatsexporte[Saldo],Monatsexporte[Jahr],$B$5,Monatsexporte[Monat],5,Monatsexporte[Konto],B50)</f>
        <v>0</v>
      </c>
      <c r="V50" s="22">
        <f t="shared" si="20"/>
        <v>0</v>
      </c>
      <c r="W50" s="15">
        <f>SUMIFS(Monatsexporte[Saldo],Monatsexporte[Jahr],$B$4,Monatsexporte[Monat],6,Monatsexporte[Konto],B50)</f>
        <v>0</v>
      </c>
      <c r="X50" s="15">
        <f>SUMIFS(Monatsexporte[Saldo],Monatsexporte[Jahr],$B$5,Monatsexporte[Monat],6,Monatsexporte[Konto],B50)</f>
        <v>0</v>
      </c>
      <c r="Y50" s="22">
        <f t="shared" si="21"/>
        <v>0</v>
      </c>
      <c r="Z50" s="15">
        <f>SUMIFS(Monatsexporte[Saldo],Monatsexporte[Jahr],$B$4,Monatsexporte[Monat],7,Monatsexporte[Konto],B50)</f>
        <v>0</v>
      </c>
      <c r="AA50" s="15">
        <f>SUMIFS(Monatsexporte[Saldo],Monatsexporte[Jahr],$B$5,Monatsexporte[Monat],7,Monatsexporte[Konto],B50)</f>
        <v>0</v>
      </c>
      <c r="AB50" s="22">
        <f t="shared" si="22"/>
        <v>0</v>
      </c>
      <c r="AC50" s="15">
        <f>SUMIFS(Monatsexporte[Saldo],Monatsexporte[Jahr],$B$4,Monatsexporte[Monat],8,Monatsexporte[Konto],B50)</f>
        <v>0</v>
      </c>
      <c r="AD50" s="15">
        <f>SUMIFS(Monatsexporte[Saldo],Monatsexporte[Jahr],$B$5,Monatsexporte[Monat],8,Monatsexporte[Konto],B50)</f>
        <v>0</v>
      </c>
      <c r="AE50" s="22">
        <f t="shared" si="23"/>
        <v>0</v>
      </c>
      <c r="AF50" s="15">
        <f>SUMIFS(Monatsexporte[Saldo],Monatsexporte[Jahr],$B$4,Monatsexporte[Monat],9,Monatsexporte[Konto],B50)</f>
        <v>0</v>
      </c>
      <c r="AG50" s="15">
        <f>SUMIFS(Monatsexporte[Saldo],Monatsexporte[Jahr],$B$5,Monatsexporte[Monat],9,Monatsexporte[Konto],B50)</f>
        <v>0</v>
      </c>
      <c r="AH50" s="22">
        <f t="shared" si="24"/>
        <v>0</v>
      </c>
      <c r="AI50" s="15">
        <f>SUMIFS(Monatsexporte[Saldo],Monatsexporte[Jahr],$B$4,Monatsexporte[Monat],10,Monatsexporte[Konto],B50)</f>
        <v>0</v>
      </c>
      <c r="AJ50" s="15">
        <f>SUMIFS(Monatsexporte[Saldo],Monatsexporte[Jahr],$B$5,Monatsexporte[Monat],10,Monatsexporte[Konto],B50)</f>
        <v>0</v>
      </c>
      <c r="AK50" s="22">
        <f t="shared" si="25"/>
        <v>0</v>
      </c>
      <c r="AL50" s="15">
        <f>SUMIFS(Monatsexporte[Saldo],Monatsexporte[Jahr],$B$4,Monatsexporte[Monat],11,Monatsexporte[Konto],B50)</f>
        <v>0</v>
      </c>
      <c r="AM50" s="15">
        <f>SUMIFS(Monatsexporte[Saldo],Monatsexporte[Jahr],$B$5,Monatsexporte[Monat],11,Monatsexporte[Konto],B50)</f>
        <v>0</v>
      </c>
      <c r="AN50" s="22">
        <f t="shared" si="26"/>
        <v>0</v>
      </c>
      <c r="AO50" s="15">
        <f>SUMIFS(Monatsexporte[Saldo],Monatsexporte[Jahr],$B$4,Monatsexporte[Monat],12,Monatsexporte[Konto],B50)</f>
        <v>0</v>
      </c>
      <c r="AP50" s="15">
        <f>SUMIFS(Monatsexporte[Saldo],Monatsexporte[Jahr],$B$5,Monatsexporte[Monat],12,Monatsexporte[Konto],B50)</f>
        <v>0</v>
      </c>
      <c r="AQ50" s="22">
        <f t="shared" si="27"/>
        <v>0</v>
      </c>
    </row>
    <row r="51" spans="1:43" hidden="1" outlineLevel="1" x14ac:dyDescent="0.45">
      <c r="A51" s="10" t="s">
        <v>441</v>
      </c>
      <c r="B51" s="39">
        <v>6802520</v>
      </c>
      <c r="C51" s="15">
        <v>4636</v>
      </c>
      <c r="D51" s="15">
        <f ca="1">SUMIFS(Monatsexporte[Saldo],Monatsexporte[Jahr],$B$4,Monatsexporte[Monat],"&lt;="&amp;$B$8,Monatsexporte[Konto],B51)</f>
        <v>13907.130000000001</v>
      </c>
      <c r="E51" s="15">
        <f ca="1">SUMIFS(Monatsexporte[Saldo],Monatsexporte[Jahr],$B$5,Monatsexporte[Monat],"&lt;="&amp;$B$8,Monatsexporte[Konto],B51)</f>
        <v>0</v>
      </c>
      <c r="F51" s="15">
        <f t="shared" ca="1" si="14"/>
        <v>13907.130000000001</v>
      </c>
      <c r="G51" s="22">
        <f t="shared" ca="1" si="15"/>
        <v>0</v>
      </c>
      <c r="H51" s="15">
        <f>SUMIFS(Monatsexporte[Saldo],Monatsexporte[Jahr],$B$4,Monatsexporte[Monat],1,Monatsexporte[Konto],B51)</f>
        <v>0</v>
      </c>
      <c r="I51" s="15">
        <f>SUMIFS(Monatsexporte[Saldo],Monatsexporte[Jahr],$B$5,Monatsexporte[Monat],1,Monatsexporte[Konto],B51)</f>
        <v>0</v>
      </c>
      <c r="J51" s="22">
        <f t="shared" si="16"/>
        <v>0</v>
      </c>
      <c r="K51" s="15">
        <f>SUMIFS(Monatsexporte[Saldo],Monatsexporte[Jahr],$B$4,Monatsexporte[Monat],2,Monatsexporte[Konto],B51)</f>
        <v>0</v>
      </c>
      <c r="L51" s="15">
        <f>SUMIFS(Monatsexporte[Saldo],Monatsexporte[Jahr],$B$5,Monatsexporte[Monat],2,Monatsexporte[Konto],B51)</f>
        <v>0</v>
      </c>
      <c r="M51" s="22">
        <f t="shared" si="17"/>
        <v>0</v>
      </c>
      <c r="N51" s="15">
        <f>SUMIFS(Monatsexporte[Saldo],Monatsexporte[Jahr],$B$4,Monatsexporte[Monat],3,Monatsexporte[Konto],B51)</f>
        <v>4635.71</v>
      </c>
      <c r="O51" s="15">
        <f>SUMIFS(Monatsexporte[Saldo],Monatsexporte[Jahr],$B$5,Monatsexporte[Monat],3,Monatsexporte[Konto],B51)</f>
        <v>0</v>
      </c>
      <c r="P51" s="22">
        <f t="shared" si="18"/>
        <v>0</v>
      </c>
      <c r="Q51" s="15">
        <f>SUMIFS(Monatsexporte[Saldo],Monatsexporte[Jahr],$B$4,Monatsexporte[Monat],4,Monatsexporte[Konto],B51)</f>
        <v>4635.71</v>
      </c>
      <c r="R51" s="15">
        <f>SUMIFS(Monatsexporte[Saldo],Monatsexporte[Jahr],$B$5,Monatsexporte[Monat],4,Monatsexporte[Konto],B51)</f>
        <v>0</v>
      </c>
      <c r="S51" s="22">
        <f t="shared" si="19"/>
        <v>0</v>
      </c>
      <c r="T51" s="15">
        <f>SUMIFS(Monatsexporte[Saldo],Monatsexporte[Jahr],$B$4,Monatsexporte[Monat],5,Monatsexporte[Konto],B51)</f>
        <v>4635.71</v>
      </c>
      <c r="U51" s="15">
        <f>SUMIFS(Monatsexporte[Saldo],Monatsexporte[Jahr],$B$5,Monatsexporte[Monat],5,Monatsexporte[Konto],B51)</f>
        <v>0</v>
      </c>
      <c r="V51" s="22">
        <f t="shared" si="20"/>
        <v>0</v>
      </c>
      <c r="W51" s="15">
        <f>SUMIFS(Monatsexporte[Saldo],Monatsexporte[Jahr],$B$4,Monatsexporte[Monat],6,Monatsexporte[Konto],B51)</f>
        <v>0</v>
      </c>
      <c r="X51" s="15">
        <f>SUMIFS(Monatsexporte[Saldo],Monatsexporte[Jahr],$B$5,Monatsexporte[Monat],6,Monatsexporte[Konto],B51)</f>
        <v>0</v>
      </c>
      <c r="Y51" s="22">
        <f t="shared" si="21"/>
        <v>0</v>
      </c>
      <c r="Z51" s="15">
        <f>SUMIFS(Monatsexporte[Saldo],Monatsexporte[Jahr],$B$4,Monatsexporte[Monat],7,Monatsexporte[Konto],B51)</f>
        <v>0</v>
      </c>
      <c r="AA51" s="15">
        <f>SUMIFS(Monatsexporte[Saldo],Monatsexporte[Jahr],$B$5,Monatsexporte[Monat],7,Monatsexporte[Konto],B51)</f>
        <v>0</v>
      </c>
      <c r="AB51" s="22">
        <f t="shared" si="22"/>
        <v>0</v>
      </c>
      <c r="AC51" s="15">
        <f>SUMIFS(Monatsexporte[Saldo],Monatsexporte[Jahr],$B$4,Monatsexporte[Monat],8,Monatsexporte[Konto],B51)</f>
        <v>0</v>
      </c>
      <c r="AD51" s="15">
        <f>SUMIFS(Monatsexporte[Saldo],Monatsexporte[Jahr],$B$5,Monatsexporte[Monat],8,Monatsexporte[Konto],B51)</f>
        <v>0</v>
      </c>
      <c r="AE51" s="22">
        <f t="shared" si="23"/>
        <v>0</v>
      </c>
      <c r="AF51" s="15">
        <f>SUMIFS(Monatsexporte[Saldo],Monatsexporte[Jahr],$B$4,Monatsexporte[Monat],9,Monatsexporte[Konto],B51)</f>
        <v>0</v>
      </c>
      <c r="AG51" s="15">
        <f>SUMIFS(Monatsexporte[Saldo],Monatsexporte[Jahr],$B$5,Monatsexporte[Monat],9,Monatsexporte[Konto],B51)</f>
        <v>0</v>
      </c>
      <c r="AH51" s="22">
        <f t="shared" si="24"/>
        <v>0</v>
      </c>
      <c r="AI51" s="15">
        <f>SUMIFS(Monatsexporte[Saldo],Monatsexporte[Jahr],$B$4,Monatsexporte[Monat],10,Monatsexporte[Konto],B51)</f>
        <v>0</v>
      </c>
      <c r="AJ51" s="15">
        <f>SUMIFS(Monatsexporte[Saldo],Monatsexporte[Jahr],$B$5,Monatsexporte[Monat],10,Monatsexporte[Konto],B51)</f>
        <v>0</v>
      </c>
      <c r="AK51" s="22">
        <f t="shared" si="25"/>
        <v>0</v>
      </c>
      <c r="AL51" s="15">
        <f>SUMIFS(Monatsexporte[Saldo],Monatsexporte[Jahr],$B$4,Monatsexporte[Monat],11,Monatsexporte[Konto],B51)</f>
        <v>0</v>
      </c>
      <c r="AM51" s="15">
        <f>SUMIFS(Monatsexporte[Saldo],Monatsexporte[Jahr],$B$5,Monatsexporte[Monat],11,Monatsexporte[Konto],B51)</f>
        <v>0</v>
      </c>
      <c r="AN51" s="22">
        <f t="shared" si="26"/>
        <v>0</v>
      </c>
      <c r="AO51" s="15">
        <f>SUMIFS(Monatsexporte[Saldo],Monatsexporte[Jahr],$B$4,Monatsexporte[Monat],12,Monatsexporte[Konto],B51)</f>
        <v>0</v>
      </c>
      <c r="AP51" s="15">
        <f>SUMIFS(Monatsexporte[Saldo],Monatsexporte[Jahr],$B$5,Monatsexporte[Monat],12,Monatsexporte[Konto],B51)</f>
        <v>0</v>
      </c>
      <c r="AQ51" s="22">
        <f t="shared" si="27"/>
        <v>0</v>
      </c>
    </row>
    <row r="52" spans="1:43" hidden="1" outlineLevel="1" x14ac:dyDescent="0.45">
      <c r="A52" s="10" t="s">
        <v>442</v>
      </c>
      <c r="B52" s="39">
        <v>6802552</v>
      </c>
      <c r="C52" s="15">
        <v>2801</v>
      </c>
      <c r="D52" s="15">
        <f ca="1">SUMIFS(Monatsexporte[Saldo],Monatsexporte[Jahr],$B$4,Monatsexporte[Monat],"&lt;="&amp;$B$8,Monatsexporte[Konto],B52)</f>
        <v>8403.75</v>
      </c>
      <c r="E52" s="15">
        <f ca="1">SUMIFS(Monatsexporte[Saldo],Monatsexporte[Jahr],$B$5,Monatsexporte[Monat],"&lt;="&amp;$B$8,Monatsexporte[Konto],B52)</f>
        <v>0</v>
      </c>
      <c r="F52" s="15">
        <f t="shared" ca="1" si="14"/>
        <v>8403.75</v>
      </c>
      <c r="G52" s="22">
        <f t="shared" ca="1" si="15"/>
        <v>0</v>
      </c>
      <c r="H52" s="15">
        <f>SUMIFS(Monatsexporte[Saldo],Monatsexporte[Jahr],$B$4,Monatsexporte[Monat],1,Monatsexporte[Konto],B52)</f>
        <v>0</v>
      </c>
      <c r="I52" s="15">
        <f>SUMIFS(Monatsexporte[Saldo],Monatsexporte[Jahr],$B$5,Monatsexporte[Monat],1,Monatsexporte[Konto],B52)</f>
        <v>0</v>
      </c>
      <c r="J52" s="22">
        <f t="shared" si="16"/>
        <v>0</v>
      </c>
      <c r="K52" s="15">
        <f>SUMIFS(Monatsexporte[Saldo],Monatsexporte[Jahr],$B$4,Monatsexporte[Monat],2,Monatsexporte[Konto],B52)</f>
        <v>0</v>
      </c>
      <c r="L52" s="15">
        <f>SUMIFS(Monatsexporte[Saldo],Monatsexporte[Jahr],$B$5,Monatsexporte[Monat],2,Monatsexporte[Konto],B52)</f>
        <v>0</v>
      </c>
      <c r="M52" s="22">
        <f t="shared" si="17"/>
        <v>0</v>
      </c>
      <c r="N52" s="15">
        <f>SUMIFS(Monatsexporte[Saldo],Monatsexporte[Jahr],$B$4,Monatsexporte[Monat],3,Monatsexporte[Konto],B52)</f>
        <v>2801.25</v>
      </c>
      <c r="O52" s="15">
        <f>SUMIFS(Monatsexporte[Saldo],Monatsexporte[Jahr],$B$5,Monatsexporte[Monat],3,Monatsexporte[Konto],B52)</f>
        <v>0</v>
      </c>
      <c r="P52" s="22">
        <f t="shared" si="18"/>
        <v>0</v>
      </c>
      <c r="Q52" s="15">
        <f>SUMIFS(Monatsexporte[Saldo],Monatsexporte[Jahr],$B$4,Monatsexporte[Monat],4,Monatsexporte[Konto],B52)</f>
        <v>2801.25</v>
      </c>
      <c r="R52" s="15">
        <f>SUMIFS(Monatsexporte[Saldo],Monatsexporte[Jahr],$B$5,Monatsexporte[Monat],4,Monatsexporte[Konto],B52)</f>
        <v>0</v>
      </c>
      <c r="S52" s="22">
        <f t="shared" si="19"/>
        <v>0</v>
      </c>
      <c r="T52" s="15">
        <f>SUMIFS(Monatsexporte[Saldo],Monatsexporte[Jahr],$B$4,Monatsexporte[Monat],5,Monatsexporte[Konto],B52)</f>
        <v>2801.25</v>
      </c>
      <c r="U52" s="15">
        <f>SUMIFS(Monatsexporte[Saldo],Monatsexporte[Jahr],$B$5,Monatsexporte[Monat],5,Monatsexporte[Konto],B52)</f>
        <v>0</v>
      </c>
      <c r="V52" s="22">
        <f t="shared" si="20"/>
        <v>0</v>
      </c>
      <c r="W52" s="15">
        <f>SUMIFS(Monatsexporte[Saldo],Monatsexporte[Jahr],$B$4,Monatsexporte[Monat],6,Monatsexporte[Konto],B52)</f>
        <v>0</v>
      </c>
      <c r="X52" s="15">
        <f>SUMIFS(Monatsexporte[Saldo],Monatsexporte[Jahr],$B$5,Monatsexporte[Monat],6,Monatsexporte[Konto],B52)</f>
        <v>0</v>
      </c>
      <c r="Y52" s="22">
        <f t="shared" si="21"/>
        <v>0</v>
      </c>
      <c r="Z52" s="15">
        <f>SUMIFS(Monatsexporte[Saldo],Monatsexporte[Jahr],$B$4,Monatsexporte[Monat],7,Monatsexporte[Konto],B52)</f>
        <v>0</v>
      </c>
      <c r="AA52" s="15">
        <f>SUMIFS(Monatsexporte[Saldo],Monatsexporte[Jahr],$B$5,Monatsexporte[Monat],7,Monatsexporte[Konto],B52)</f>
        <v>0</v>
      </c>
      <c r="AB52" s="22">
        <f t="shared" si="22"/>
        <v>0</v>
      </c>
      <c r="AC52" s="15">
        <f>SUMIFS(Monatsexporte[Saldo],Monatsexporte[Jahr],$B$4,Monatsexporte[Monat],8,Monatsexporte[Konto],B52)</f>
        <v>0</v>
      </c>
      <c r="AD52" s="15">
        <f>SUMIFS(Monatsexporte[Saldo],Monatsexporte[Jahr],$B$5,Monatsexporte[Monat],8,Monatsexporte[Konto],B52)</f>
        <v>0</v>
      </c>
      <c r="AE52" s="22">
        <f t="shared" si="23"/>
        <v>0</v>
      </c>
      <c r="AF52" s="15">
        <f>SUMIFS(Monatsexporte[Saldo],Monatsexporte[Jahr],$B$4,Monatsexporte[Monat],9,Monatsexporte[Konto],B52)</f>
        <v>0</v>
      </c>
      <c r="AG52" s="15">
        <f>SUMIFS(Monatsexporte[Saldo],Monatsexporte[Jahr],$B$5,Monatsexporte[Monat],9,Monatsexporte[Konto],B52)</f>
        <v>0</v>
      </c>
      <c r="AH52" s="22">
        <f t="shared" si="24"/>
        <v>0</v>
      </c>
      <c r="AI52" s="15">
        <f>SUMIFS(Monatsexporte[Saldo],Monatsexporte[Jahr],$B$4,Monatsexporte[Monat],10,Monatsexporte[Konto],B52)</f>
        <v>0</v>
      </c>
      <c r="AJ52" s="15">
        <f>SUMIFS(Monatsexporte[Saldo],Monatsexporte[Jahr],$B$5,Monatsexporte[Monat],10,Monatsexporte[Konto],B52)</f>
        <v>0</v>
      </c>
      <c r="AK52" s="22">
        <f t="shared" si="25"/>
        <v>0</v>
      </c>
      <c r="AL52" s="15">
        <f>SUMIFS(Monatsexporte[Saldo],Monatsexporte[Jahr],$B$4,Monatsexporte[Monat],11,Monatsexporte[Konto],B52)</f>
        <v>0</v>
      </c>
      <c r="AM52" s="15">
        <f>SUMIFS(Monatsexporte[Saldo],Monatsexporte[Jahr],$B$5,Monatsexporte[Monat],11,Monatsexporte[Konto],B52)</f>
        <v>0</v>
      </c>
      <c r="AN52" s="22">
        <f t="shared" si="26"/>
        <v>0</v>
      </c>
      <c r="AO52" s="15">
        <f>SUMIFS(Monatsexporte[Saldo],Monatsexporte[Jahr],$B$4,Monatsexporte[Monat],12,Monatsexporte[Konto],B52)</f>
        <v>0</v>
      </c>
      <c r="AP52" s="15">
        <f>SUMIFS(Monatsexporte[Saldo],Monatsexporte[Jahr],$B$5,Monatsexporte[Monat],12,Monatsexporte[Konto],B52)</f>
        <v>0</v>
      </c>
      <c r="AQ52" s="22">
        <f t="shared" si="27"/>
        <v>0</v>
      </c>
    </row>
    <row r="53" spans="1:43" collapsed="1" x14ac:dyDescent="0.45">
      <c r="A53" s="1" t="s">
        <v>432</v>
      </c>
      <c r="B53" s="39" t="s">
        <v>433</v>
      </c>
      <c r="C53" s="15">
        <f>SUM(C44:C52)</f>
        <v>54536</v>
      </c>
      <c r="D53" s="15">
        <f ca="1">SUM(D44:D52)</f>
        <v>163605.78</v>
      </c>
      <c r="E53" s="15">
        <f ca="1">SUM(E44:E52)</f>
        <v>0</v>
      </c>
      <c r="F53" s="15">
        <f t="shared" ca="1" si="14"/>
        <v>163605.78</v>
      </c>
      <c r="G53" s="22">
        <f t="shared" ca="1" si="15"/>
        <v>0</v>
      </c>
      <c r="H53" s="15">
        <f>SUM(H44:H52)</f>
        <v>0</v>
      </c>
      <c r="I53" s="15">
        <f>SUM(I44:I52)</f>
        <v>0</v>
      </c>
      <c r="J53" s="22">
        <f t="shared" si="16"/>
        <v>0</v>
      </c>
      <c r="K53" s="15">
        <f>SUM(K44:K52)</f>
        <v>0</v>
      </c>
      <c r="L53" s="15">
        <f>SUM(L44:L52)</f>
        <v>0</v>
      </c>
      <c r="M53" s="22">
        <f t="shared" si="17"/>
        <v>0</v>
      </c>
      <c r="N53" s="15">
        <f>SUM(N44:N52)</f>
        <v>54535.259999999995</v>
      </c>
      <c r="O53" s="15">
        <f>SUM(O44:O52)</f>
        <v>0</v>
      </c>
      <c r="P53" s="22">
        <f t="shared" si="18"/>
        <v>0</v>
      </c>
      <c r="Q53" s="15">
        <f>SUM(Q44:Q52)</f>
        <v>54535.259999999995</v>
      </c>
      <c r="R53" s="15">
        <f>SUM(R44:R52)</f>
        <v>0</v>
      </c>
      <c r="S53" s="22">
        <f t="shared" si="19"/>
        <v>0</v>
      </c>
      <c r="T53" s="15">
        <f>SUM(T44:T52)</f>
        <v>54535.259999999995</v>
      </c>
      <c r="U53" s="15">
        <f>SUM(U44:U52)</f>
        <v>0</v>
      </c>
      <c r="V53" s="22">
        <f t="shared" si="20"/>
        <v>0</v>
      </c>
      <c r="W53" s="15">
        <f>SUM(W44:W52)</f>
        <v>0</v>
      </c>
      <c r="X53" s="15">
        <f>SUM(X44:X52)</f>
        <v>0</v>
      </c>
      <c r="Y53" s="22">
        <f t="shared" si="21"/>
        <v>0</v>
      </c>
      <c r="Z53" s="15">
        <f>SUM(Z44:Z52)</f>
        <v>0</v>
      </c>
      <c r="AA53" s="15">
        <f>SUM(AA44:AA52)</f>
        <v>0</v>
      </c>
      <c r="AB53" s="22">
        <f t="shared" si="22"/>
        <v>0</v>
      </c>
      <c r="AC53" s="15">
        <f>SUM(AC44:AC52)</f>
        <v>0</v>
      </c>
      <c r="AD53" s="15">
        <f>SUM(AD44:AD52)</f>
        <v>0</v>
      </c>
      <c r="AE53" s="22">
        <f t="shared" si="23"/>
        <v>0</v>
      </c>
      <c r="AF53" s="15">
        <f>SUM(AF44:AF52)</f>
        <v>0</v>
      </c>
      <c r="AG53" s="15">
        <f>SUM(AG44:AG52)</f>
        <v>0</v>
      </c>
      <c r="AH53" s="22">
        <f t="shared" si="24"/>
        <v>0</v>
      </c>
      <c r="AI53" s="15">
        <f>SUM(AI44:AI52)</f>
        <v>0</v>
      </c>
      <c r="AJ53" s="15">
        <f>SUM(AJ44:AJ52)</f>
        <v>0</v>
      </c>
      <c r="AK53" s="22">
        <f t="shared" si="25"/>
        <v>0</v>
      </c>
      <c r="AL53" s="15">
        <f>SUM(AL44:AL52)</f>
        <v>0</v>
      </c>
      <c r="AM53" s="15">
        <f>SUM(AM44:AM52)</f>
        <v>0</v>
      </c>
      <c r="AN53" s="22">
        <f t="shared" si="26"/>
        <v>0</v>
      </c>
      <c r="AO53" s="15">
        <f>SUM(AO44:AO52)</f>
        <v>0</v>
      </c>
      <c r="AP53" s="15">
        <f>SUM(AP44:AP52)</f>
        <v>0</v>
      </c>
      <c r="AQ53" s="22">
        <f t="shared" si="27"/>
        <v>0</v>
      </c>
    </row>
    <row r="54" spans="1:43" hidden="1" outlineLevel="1" x14ac:dyDescent="0.45">
      <c r="A54" s="10" t="s">
        <v>445</v>
      </c>
      <c r="B54" s="39">
        <v>6901251</v>
      </c>
      <c r="C54" s="15">
        <v>150339</v>
      </c>
      <c r="D54" s="15">
        <f ca="1">SUMIFS(Monatsexporte[Saldo],Monatsexporte[Jahr],$B$4,Monatsexporte[Monat],"&lt;="&amp;$B$8,Monatsexporte[Konto],B54)</f>
        <v>451017.87</v>
      </c>
      <c r="E54" s="15">
        <f ca="1">SUMIFS(Monatsexporte[Saldo],Monatsexporte[Jahr],$B$5,Monatsexporte[Monat],"&lt;="&amp;$B$8,Monatsexporte[Konto],B54)</f>
        <v>0</v>
      </c>
      <c r="F54" s="15">
        <f t="shared" ca="1" si="14"/>
        <v>451017.87</v>
      </c>
      <c r="G54" s="22">
        <f t="shared" ca="1" si="15"/>
        <v>0</v>
      </c>
      <c r="H54" s="15">
        <f>SUMIFS(Monatsexporte[Saldo],Monatsexporte[Jahr],$B$4,Monatsexporte[Monat],1,Monatsexporte[Konto],B54)</f>
        <v>0</v>
      </c>
      <c r="I54" s="15">
        <f>SUMIFS(Monatsexporte[Saldo],Monatsexporte[Jahr],$B$5,Monatsexporte[Monat],1,Monatsexporte[Konto],B54)</f>
        <v>0</v>
      </c>
      <c r="J54" s="22">
        <f t="shared" si="16"/>
        <v>0</v>
      </c>
      <c r="K54" s="15">
        <f>SUMIFS(Monatsexporte[Saldo],Monatsexporte[Jahr],$B$4,Monatsexporte[Monat],2,Monatsexporte[Konto],B54)</f>
        <v>0</v>
      </c>
      <c r="L54" s="15">
        <f>SUMIFS(Monatsexporte[Saldo],Monatsexporte[Jahr],$B$5,Monatsexporte[Monat],2,Monatsexporte[Konto],B54)</f>
        <v>0</v>
      </c>
      <c r="M54" s="22">
        <f t="shared" si="17"/>
        <v>0</v>
      </c>
      <c r="N54" s="15">
        <f>SUMIFS(Monatsexporte[Saldo],Monatsexporte[Jahr],$B$4,Monatsexporte[Monat],3,Monatsexporte[Konto],B54)</f>
        <v>150339.29</v>
      </c>
      <c r="O54" s="15">
        <f>SUMIFS(Monatsexporte[Saldo],Monatsexporte[Jahr],$B$5,Monatsexporte[Monat],3,Monatsexporte[Konto],B54)</f>
        <v>0</v>
      </c>
      <c r="P54" s="22">
        <f t="shared" si="18"/>
        <v>0</v>
      </c>
      <c r="Q54" s="15">
        <f>SUMIFS(Monatsexporte[Saldo],Monatsexporte[Jahr],$B$4,Monatsexporte[Monat],4,Monatsexporte[Konto],B54)</f>
        <v>150339.29</v>
      </c>
      <c r="R54" s="15">
        <f>SUMIFS(Monatsexporte[Saldo],Monatsexporte[Jahr],$B$5,Monatsexporte[Monat],4,Monatsexporte[Konto],B54)</f>
        <v>0</v>
      </c>
      <c r="S54" s="22">
        <f t="shared" si="19"/>
        <v>0</v>
      </c>
      <c r="T54" s="15">
        <f>SUMIFS(Monatsexporte[Saldo],Monatsexporte[Jahr],$B$4,Monatsexporte[Monat],5,Monatsexporte[Konto],B54)</f>
        <v>150339.29</v>
      </c>
      <c r="U54" s="15">
        <f>SUMIFS(Monatsexporte[Saldo],Monatsexporte[Jahr],$B$5,Monatsexporte[Monat],5,Monatsexporte[Konto],B54)</f>
        <v>0</v>
      </c>
      <c r="V54" s="22">
        <f t="shared" si="20"/>
        <v>0</v>
      </c>
      <c r="W54" s="15">
        <f>SUMIFS(Monatsexporte[Saldo],Monatsexporte[Jahr],$B$4,Monatsexporte[Monat],6,Monatsexporte[Konto],B54)</f>
        <v>0</v>
      </c>
      <c r="X54" s="15">
        <f>SUMIFS(Monatsexporte[Saldo],Monatsexporte[Jahr],$B$5,Monatsexporte[Monat],6,Monatsexporte[Konto],B54)</f>
        <v>0</v>
      </c>
      <c r="Y54" s="22">
        <f t="shared" si="21"/>
        <v>0</v>
      </c>
      <c r="Z54" s="15">
        <f>SUMIFS(Monatsexporte[Saldo],Monatsexporte[Jahr],$B$4,Monatsexporte[Monat],7,Monatsexporte[Konto],B54)</f>
        <v>0</v>
      </c>
      <c r="AA54" s="15">
        <f>SUMIFS(Monatsexporte[Saldo],Monatsexporte[Jahr],$B$5,Monatsexporte[Monat],7,Monatsexporte[Konto],B54)</f>
        <v>0</v>
      </c>
      <c r="AB54" s="22">
        <f t="shared" si="22"/>
        <v>0</v>
      </c>
      <c r="AC54" s="15">
        <f>SUMIFS(Monatsexporte[Saldo],Monatsexporte[Jahr],$B$4,Monatsexporte[Monat],8,Monatsexporte[Konto],B54)</f>
        <v>0</v>
      </c>
      <c r="AD54" s="15">
        <f>SUMIFS(Monatsexporte[Saldo],Monatsexporte[Jahr],$B$5,Monatsexporte[Monat],8,Monatsexporte[Konto],B54)</f>
        <v>0</v>
      </c>
      <c r="AE54" s="22">
        <f t="shared" si="23"/>
        <v>0</v>
      </c>
      <c r="AF54" s="15">
        <f>SUMIFS(Monatsexporte[Saldo],Monatsexporte[Jahr],$B$4,Monatsexporte[Monat],9,Monatsexporte[Konto],B54)</f>
        <v>0</v>
      </c>
      <c r="AG54" s="15">
        <f>SUMIFS(Monatsexporte[Saldo],Monatsexporte[Jahr],$B$5,Monatsexporte[Monat],9,Monatsexporte[Konto],B54)</f>
        <v>0</v>
      </c>
      <c r="AH54" s="22">
        <f t="shared" si="24"/>
        <v>0</v>
      </c>
      <c r="AI54" s="15">
        <f>SUMIFS(Monatsexporte[Saldo],Monatsexporte[Jahr],$B$4,Monatsexporte[Monat],10,Monatsexporte[Konto],B54)</f>
        <v>0</v>
      </c>
      <c r="AJ54" s="15">
        <f>SUMIFS(Monatsexporte[Saldo],Monatsexporte[Jahr],$B$5,Monatsexporte[Monat],10,Monatsexporte[Konto],B54)</f>
        <v>0</v>
      </c>
      <c r="AK54" s="22">
        <f t="shared" si="25"/>
        <v>0</v>
      </c>
      <c r="AL54" s="15">
        <f>SUMIFS(Monatsexporte[Saldo],Monatsexporte[Jahr],$B$4,Monatsexporte[Monat],11,Monatsexporte[Konto],B54)</f>
        <v>0</v>
      </c>
      <c r="AM54" s="15">
        <f>SUMIFS(Monatsexporte[Saldo],Monatsexporte[Jahr],$B$5,Monatsexporte[Monat],11,Monatsexporte[Konto],B54)</f>
        <v>0</v>
      </c>
      <c r="AN54" s="22">
        <f t="shared" si="26"/>
        <v>0</v>
      </c>
      <c r="AO54" s="15">
        <f>SUMIFS(Monatsexporte[Saldo],Monatsexporte[Jahr],$B$4,Monatsexporte[Monat],12,Monatsexporte[Konto],B54)</f>
        <v>0</v>
      </c>
      <c r="AP54" s="15">
        <f>SUMIFS(Monatsexporte[Saldo],Monatsexporte[Jahr],$B$5,Monatsexporte[Monat],12,Monatsexporte[Konto],B54)</f>
        <v>0</v>
      </c>
      <c r="AQ54" s="22">
        <f t="shared" si="27"/>
        <v>0</v>
      </c>
    </row>
    <row r="55" spans="1:43" hidden="1" outlineLevel="1" x14ac:dyDescent="0.45">
      <c r="A55" s="10" t="s">
        <v>446</v>
      </c>
      <c r="B55" s="39">
        <v>6901252</v>
      </c>
      <c r="C55" s="15">
        <v>23218</v>
      </c>
      <c r="D55" s="15">
        <f ca="1">SUMIFS(Monatsexporte[Saldo],Monatsexporte[Jahr],$B$4,Monatsexporte[Monat],"&lt;="&amp;$B$8,Monatsexporte[Konto],B55)</f>
        <v>69654.240000000005</v>
      </c>
      <c r="E55" s="15">
        <f ca="1">SUMIFS(Monatsexporte[Saldo],Monatsexporte[Jahr],$B$5,Monatsexporte[Monat],"&lt;="&amp;$B$8,Monatsexporte[Konto],B55)</f>
        <v>0</v>
      </c>
      <c r="F55" s="15">
        <f t="shared" ca="1" si="14"/>
        <v>69654.240000000005</v>
      </c>
      <c r="G55" s="22">
        <f t="shared" ca="1" si="15"/>
        <v>0</v>
      </c>
      <c r="H55" s="15">
        <f>SUMIFS(Monatsexporte[Saldo],Monatsexporte[Jahr],$B$4,Monatsexporte[Monat],1,Monatsexporte[Konto],B55)</f>
        <v>0</v>
      </c>
      <c r="I55" s="15">
        <f>SUMIFS(Monatsexporte[Saldo],Monatsexporte[Jahr],$B$5,Monatsexporte[Monat],1,Monatsexporte[Konto],B55)</f>
        <v>0</v>
      </c>
      <c r="J55" s="22">
        <f t="shared" si="16"/>
        <v>0</v>
      </c>
      <c r="K55" s="15">
        <f>SUMIFS(Monatsexporte[Saldo],Monatsexporte[Jahr],$B$4,Monatsexporte[Monat],2,Monatsexporte[Konto],B55)</f>
        <v>0</v>
      </c>
      <c r="L55" s="15">
        <f>SUMIFS(Monatsexporte[Saldo],Monatsexporte[Jahr],$B$5,Monatsexporte[Monat],2,Monatsexporte[Konto],B55)</f>
        <v>0</v>
      </c>
      <c r="M55" s="22">
        <f t="shared" si="17"/>
        <v>0</v>
      </c>
      <c r="N55" s="15">
        <f>SUMIFS(Monatsexporte[Saldo],Monatsexporte[Jahr],$B$4,Monatsexporte[Monat],3,Monatsexporte[Konto],B55)</f>
        <v>23218.080000000002</v>
      </c>
      <c r="O55" s="15">
        <f>SUMIFS(Monatsexporte[Saldo],Monatsexporte[Jahr],$B$5,Monatsexporte[Monat],3,Monatsexporte[Konto],B55)</f>
        <v>0</v>
      </c>
      <c r="P55" s="22">
        <f t="shared" si="18"/>
        <v>0</v>
      </c>
      <c r="Q55" s="15">
        <f>SUMIFS(Monatsexporte[Saldo],Monatsexporte[Jahr],$B$4,Monatsexporte[Monat],4,Monatsexporte[Konto],B55)</f>
        <v>23218.080000000002</v>
      </c>
      <c r="R55" s="15">
        <f>SUMIFS(Monatsexporte[Saldo],Monatsexporte[Jahr],$B$5,Monatsexporte[Monat],4,Monatsexporte[Konto],B55)</f>
        <v>0</v>
      </c>
      <c r="S55" s="22">
        <f t="shared" si="19"/>
        <v>0</v>
      </c>
      <c r="T55" s="15">
        <f>SUMIFS(Monatsexporte[Saldo],Monatsexporte[Jahr],$B$4,Monatsexporte[Monat],5,Monatsexporte[Konto],B55)</f>
        <v>23218.080000000002</v>
      </c>
      <c r="U55" s="15">
        <f>SUMIFS(Monatsexporte[Saldo],Monatsexporte[Jahr],$B$5,Monatsexporte[Monat],5,Monatsexporte[Konto],B55)</f>
        <v>0</v>
      </c>
      <c r="V55" s="22">
        <f t="shared" si="20"/>
        <v>0</v>
      </c>
      <c r="W55" s="15">
        <f>SUMIFS(Monatsexporte[Saldo],Monatsexporte[Jahr],$B$4,Monatsexporte[Monat],6,Monatsexporte[Konto],B55)</f>
        <v>0</v>
      </c>
      <c r="X55" s="15">
        <f>SUMIFS(Monatsexporte[Saldo],Monatsexporte[Jahr],$B$5,Monatsexporte[Monat],6,Monatsexporte[Konto],B55)</f>
        <v>0</v>
      </c>
      <c r="Y55" s="22">
        <f t="shared" si="21"/>
        <v>0</v>
      </c>
      <c r="Z55" s="15">
        <f>SUMIFS(Monatsexporte[Saldo],Monatsexporte[Jahr],$B$4,Monatsexporte[Monat],7,Monatsexporte[Konto],B55)</f>
        <v>0</v>
      </c>
      <c r="AA55" s="15">
        <f>SUMIFS(Monatsexporte[Saldo],Monatsexporte[Jahr],$B$5,Monatsexporte[Monat],7,Monatsexporte[Konto],B55)</f>
        <v>0</v>
      </c>
      <c r="AB55" s="22">
        <f t="shared" si="22"/>
        <v>0</v>
      </c>
      <c r="AC55" s="15">
        <f>SUMIFS(Monatsexporte[Saldo],Monatsexporte[Jahr],$B$4,Monatsexporte[Monat],8,Monatsexporte[Konto],B55)</f>
        <v>0</v>
      </c>
      <c r="AD55" s="15">
        <f>SUMIFS(Monatsexporte[Saldo],Monatsexporte[Jahr],$B$5,Monatsexporte[Monat],8,Monatsexporte[Konto],B55)</f>
        <v>0</v>
      </c>
      <c r="AE55" s="22">
        <f t="shared" si="23"/>
        <v>0</v>
      </c>
      <c r="AF55" s="15">
        <f>SUMIFS(Monatsexporte[Saldo],Monatsexporte[Jahr],$B$4,Monatsexporte[Monat],9,Monatsexporte[Konto],B55)</f>
        <v>0</v>
      </c>
      <c r="AG55" s="15">
        <f>SUMIFS(Monatsexporte[Saldo],Monatsexporte[Jahr],$B$5,Monatsexporte[Monat],9,Monatsexporte[Konto],B55)</f>
        <v>0</v>
      </c>
      <c r="AH55" s="22">
        <f t="shared" si="24"/>
        <v>0</v>
      </c>
      <c r="AI55" s="15">
        <f>SUMIFS(Monatsexporte[Saldo],Monatsexporte[Jahr],$B$4,Monatsexporte[Monat],10,Monatsexporte[Konto],B55)</f>
        <v>0</v>
      </c>
      <c r="AJ55" s="15">
        <f>SUMIFS(Monatsexporte[Saldo],Monatsexporte[Jahr],$B$5,Monatsexporte[Monat],10,Monatsexporte[Konto],B55)</f>
        <v>0</v>
      </c>
      <c r="AK55" s="22">
        <f t="shared" si="25"/>
        <v>0</v>
      </c>
      <c r="AL55" s="15">
        <f>SUMIFS(Monatsexporte[Saldo],Monatsexporte[Jahr],$B$4,Monatsexporte[Monat],11,Monatsexporte[Konto],B55)</f>
        <v>0</v>
      </c>
      <c r="AM55" s="15">
        <f>SUMIFS(Monatsexporte[Saldo],Monatsexporte[Jahr],$B$5,Monatsexporte[Monat],11,Monatsexporte[Konto],B55)</f>
        <v>0</v>
      </c>
      <c r="AN55" s="22">
        <f t="shared" si="26"/>
        <v>0</v>
      </c>
      <c r="AO55" s="15">
        <f>SUMIFS(Monatsexporte[Saldo],Monatsexporte[Jahr],$B$4,Monatsexporte[Monat],12,Monatsexporte[Konto],B55)</f>
        <v>0</v>
      </c>
      <c r="AP55" s="15">
        <f>SUMIFS(Monatsexporte[Saldo],Monatsexporte[Jahr],$B$5,Monatsexporte[Monat],12,Monatsexporte[Konto],B55)</f>
        <v>0</v>
      </c>
      <c r="AQ55" s="22">
        <f t="shared" si="27"/>
        <v>0</v>
      </c>
    </row>
    <row r="56" spans="1:43" hidden="1" outlineLevel="1" x14ac:dyDescent="0.45">
      <c r="A56" s="10" t="s">
        <v>447</v>
      </c>
      <c r="B56" s="39">
        <v>6901253</v>
      </c>
      <c r="C56" s="15">
        <v>45651</v>
      </c>
      <c r="D56" s="15">
        <f ca="1">SUMIFS(Monatsexporte[Saldo],Monatsexporte[Jahr],$B$4,Monatsexporte[Monat],"&lt;="&amp;$B$8,Monatsexporte[Konto],B56)</f>
        <v>136953.90000000002</v>
      </c>
      <c r="E56" s="15">
        <f ca="1">SUMIFS(Monatsexporte[Saldo],Monatsexporte[Jahr],$B$5,Monatsexporte[Monat],"&lt;="&amp;$B$8,Monatsexporte[Konto],B56)</f>
        <v>0</v>
      </c>
      <c r="F56" s="15">
        <f t="shared" ca="1" si="14"/>
        <v>136953.90000000002</v>
      </c>
      <c r="G56" s="22">
        <f t="shared" ca="1" si="15"/>
        <v>0</v>
      </c>
      <c r="H56" s="15">
        <f>SUMIFS(Monatsexporte[Saldo],Monatsexporte[Jahr],$B$4,Monatsexporte[Monat],1,Monatsexporte[Konto],B56)</f>
        <v>0</v>
      </c>
      <c r="I56" s="15">
        <f>SUMIFS(Monatsexporte[Saldo],Monatsexporte[Jahr],$B$5,Monatsexporte[Monat],1,Monatsexporte[Konto],B56)</f>
        <v>0</v>
      </c>
      <c r="J56" s="22">
        <f t="shared" si="16"/>
        <v>0</v>
      </c>
      <c r="K56" s="15">
        <f>SUMIFS(Monatsexporte[Saldo],Monatsexporte[Jahr],$B$4,Monatsexporte[Monat],2,Monatsexporte[Konto],B56)</f>
        <v>0</v>
      </c>
      <c r="L56" s="15">
        <f>SUMIFS(Monatsexporte[Saldo],Monatsexporte[Jahr],$B$5,Monatsexporte[Monat],2,Monatsexporte[Konto],B56)</f>
        <v>0</v>
      </c>
      <c r="M56" s="22">
        <f t="shared" si="17"/>
        <v>0</v>
      </c>
      <c r="N56" s="15">
        <f>SUMIFS(Monatsexporte[Saldo],Monatsexporte[Jahr],$B$4,Monatsexporte[Monat],3,Monatsexporte[Konto],B56)</f>
        <v>45651.3</v>
      </c>
      <c r="O56" s="15">
        <f>SUMIFS(Monatsexporte[Saldo],Monatsexporte[Jahr],$B$5,Monatsexporte[Monat],3,Monatsexporte[Konto],B56)</f>
        <v>0</v>
      </c>
      <c r="P56" s="22">
        <f t="shared" si="18"/>
        <v>0</v>
      </c>
      <c r="Q56" s="15">
        <f>SUMIFS(Monatsexporte[Saldo],Monatsexporte[Jahr],$B$4,Monatsexporte[Monat],4,Monatsexporte[Konto],B56)</f>
        <v>45651.3</v>
      </c>
      <c r="R56" s="15">
        <f>SUMIFS(Monatsexporte[Saldo],Monatsexporte[Jahr],$B$5,Monatsexporte[Monat],4,Monatsexporte[Konto],B56)</f>
        <v>0</v>
      </c>
      <c r="S56" s="22">
        <f t="shared" si="19"/>
        <v>0</v>
      </c>
      <c r="T56" s="15">
        <f>SUMIFS(Monatsexporte[Saldo],Monatsexporte[Jahr],$B$4,Monatsexporte[Monat],5,Monatsexporte[Konto],B56)</f>
        <v>45651.3</v>
      </c>
      <c r="U56" s="15">
        <f>SUMIFS(Monatsexporte[Saldo],Monatsexporte[Jahr],$B$5,Monatsexporte[Monat],5,Monatsexporte[Konto],B56)</f>
        <v>0</v>
      </c>
      <c r="V56" s="22">
        <f t="shared" si="20"/>
        <v>0</v>
      </c>
      <c r="W56" s="15">
        <f>SUMIFS(Monatsexporte[Saldo],Monatsexporte[Jahr],$B$4,Monatsexporte[Monat],6,Monatsexporte[Konto],B56)</f>
        <v>0</v>
      </c>
      <c r="X56" s="15">
        <f>SUMIFS(Monatsexporte[Saldo],Monatsexporte[Jahr],$B$5,Monatsexporte[Monat],6,Monatsexporte[Konto],B56)</f>
        <v>0</v>
      </c>
      <c r="Y56" s="22">
        <f t="shared" si="21"/>
        <v>0</v>
      </c>
      <c r="Z56" s="15">
        <f>SUMIFS(Monatsexporte[Saldo],Monatsexporte[Jahr],$B$4,Monatsexporte[Monat],7,Monatsexporte[Konto],B56)</f>
        <v>0</v>
      </c>
      <c r="AA56" s="15">
        <f>SUMIFS(Monatsexporte[Saldo],Monatsexporte[Jahr],$B$5,Monatsexporte[Monat],7,Monatsexporte[Konto],B56)</f>
        <v>0</v>
      </c>
      <c r="AB56" s="22">
        <f t="shared" si="22"/>
        <v>0</v>
      </c>
      <c r="AC56" s="15">
        <f>SUMIFS(Monatsexporte[Saldo],Monatsexporte[Jahr],$B$4,Monatsexporte[Monat],8,Monatsexporte[Konto],B56)</f>
        <v>0</v>
      </c>
      <c r="AD56" s="15">
        <f>SUMIFS(Monatsexporte[Saldo],Monatsexporte[Jahr],$B$5,Monatsexporte[Monat],8,Monatsexporte[Konto],B56)</f>
        <v>0</v>
      </c>
      <c r="AE56" s="22">
        <f t="shared" si="23"/>
        <v>0</v>
      </c>
      <c r="AF56" s="15">
        <f>SUMIFS(Monatsexporte[Saldo],Monatsexporte[Jahr],$B$4,Monatsexporte[Monat],9,Monatsexporte[Konto],B56)</f>
        <v>0</v>
      </c>
      <c r="AG56" s="15">
        <f>SUMIFS(Monatsexporte[Saldo],Monatsexporte[Jahr],$B$5,Monatsexporte[Monat],9,Monatsexporte[Konto],B56)</f>
        <v>0</v>
      </c>
      <c r="AH56" s="22">
        <f t="shared" si="24"/>
        <v>0</v>
      </c>
      <c r="AI56" s="15">
        <f>SUMIFS(Monatsexporte[Saldo],Monatsexporte[Jahr],$B$4,Monatsexporte[Monat],10,Monatsexporte[Konto],B56)</f>
        <v>0</v>
      </c>
      <c r="AJ56" s="15">
        <f>SUMIFS(Monatsexporte[Saldo],Monatsexporte[Jahr],$B$5,Monatsexporte[Monat],10,Monatsexporte[Konto],B56)</f>
        <v>0</v>
      </c>
      <c r="AK56" s="22">
        <f t="shared" si="25"/>
        <v>0</v>
      </c>
      <c r="AL56" s="15">
        <f>SUMIFS(Monatsexporte[Saldo],Monatsexporte[Jahr],$B$4,Monatsexporte[Monat],11,Monatsexporte[Konto],B56)</f>
        <v>0</v>
      </c>
      <c r="AM56" s="15">
        <f>SUMIFS(Monatsexporte[Saldo],Monatsexporte[Jahr],$B$5,Monatsexporte[Monat],11,Monatsexporte[Konto],B56)</f>
        <v>0</v>
      </c>
      <c r="AN56" s="22">
        <f t="shared" si="26"/>
        <v>0</v>
      </c>
      <c r="AO56" s="15">
        <f>SUMIFS(Monatsexporte[Saldo],Monatsexporte[Jahr],$B$4,Monatsexporte[Monat],12,Monatsexporte[Konto],B56)</f>
        <v>0</v>
      </c>
      <c r="AP56" s="15">
        <f>SUMIFS(Monatsexporte[Saldo],Monatsexporte[Jahr],$B$5,Monatsexporte[Monat],12,Monatsexporte[Konto],B56)</f>
        <v>0</v>
      </c>
      <c r="AQ56" s="22">
        <f t="shared" si="27"/>
        <v>0</v>
      </c>
    </row>
    <row r="57" spans="1:43" hidden="1" outlineLevel="1" x14ac:dyDescent="0.45">
      <c r="A57" s="10" t="s">
        <v>448</v>
      </c>
      <c r="B57" s="39">
        <v>6901257</v>
      </c>
      <c r="C57" s="15">
        <v>164003</v>
      </c>
      <c r="D57" s="15">
        <f ca="1">SUMIFS(Monatsexporte[Saldo],Monatsexporte[Jahr],$B$4,Monatsexporte[Monat],"&lt;="&amp;$B$8,Monatsexporte[Konto],B57)</f>
        <v>492009.93</v>
      </c>
      <c r="E57" s="15">
        <f ca="1">SUMIFS(Monatsexporte[Saldo],Monatsexporte[Jahr],$B$5,Monatsexporte[Monat],"&lt;="&amp;$B$8,Monatsexporte[Konto],B57)</f>
        <v>0</v>
      </c>
      <c r="F57" s="15">
        <f t="shared" ca="1" si="14"/>
        <v>492009.93</v>
      </c>
      <c r="G57" s="22">
        <f t="shared" ca="1" si="15"/>
        <v>0</v>
      </c>
      <c r="H57" s="15">
        <f>SUMIFS(Monatsexporte[Saldo],Monatsexporte[Jahr],$B$4,Monatsexporte[Monat],1,Monatsexporte[Konto],B57)</f>
        <v>0</v>
      </c>
      <c r="I57" s="15">
        <f>SUMIFS(Monatsexporte[Saldo],Monatsexporte[Jahr],$B$5,Monatsexporte[Monat],1,Monatsexporte[Konto],B57)</f>
        <v>0</v>
      </c>
      <c r="J57" s="22">
        <f t="shared" si="16"/>
        <v>0</v>
      </c>
      <c r="K57" s="15">
        <f>SUMIFS(Monatsexporte[Saldo],Monatsexporte[Jahr],$B$4,Monatsexporte[Monat],2,Monatsexporte[Konto],B57)</f>
        <v>0</v>
      </c>
      <c r="L57" s="15">
        <f>SUMIFS(Monatsexporte[Saldo],Monatsexporte[Jahr],$B$5,Monatsexporte[Monat],2,Monatsexporte[Konto],B57)</f>
        <v>0</v>
      </c>
      <c r="M57" s="22">
        <f t="shared" si="17"/>
        <v>0</v>
      </c>
      <c r="N57" s="15">
        <f>SUMIFS(Monatsexporte[Saldo],Monatsexporte[Jahr],$B$4,Monatsexporte[Monat],3,Monatsexporte[Konto],B57)</f>
        <v>164003.31</v>
      </c>
      <c r="O57" s="15">
        <f>SUMIFS(Monatsexporte[Saldo],Monatsexporte[Jahr],$B$5,Monatsexporte[Monat],3,Monatsexporte[Konto],B57)</f>
        <v>0</v>
      </c>
      <c r="P57" s="22">
        <f t="shared" si="18"/>
        <v>0</v>
      </c>
      <c r="Q57" s="15">
        <f>SUMIFS(Monatsexporte[Saldo],Monatsexporte[Jahr],$B$4,Monatsexporte[Monat],4,Monatsexporte[Konto],B57)</f>
        <v>164003.31</v>
      </c>
      <c r="R57" s="15">
        <f>SUMIFS(Monatsexporte[Saldo],Monatsexporte[Jahr],$B$5,Monatsexporte[Monat],4,Monatsexporte[Konto],B57)</f>
        <v>0</v>
      </c>
      <c r="S57" s="22">
        <f t="shared" si="19"/>
        <v>0</v>
      </c>
      <c r="T57" s="15">
        <f>SUMIFS(Monatsexporte[Saldo],Monatsexporte[Jahr],$B$4,Monatsexporte[Monat],5,Monatsexporte[Konto],B57)</f>
        <v>164003.31</v>
      </c>
      <c r="U57" s="15">
        <f>SUMIFS(Monatsexporte[Saldo],Monatsexporte[Jahr],$B$5,Monatsexporte[Monat],5,Monatsexporte[Konto],B57)</f>
        <v>0</v>
      </c>
      <c r="V57" s="22">
        <f t="shared" si="20"/>
        <v>0</v>
      </c>
      <c r="W57" s="15">
        <f>SUMIFS(Monatsexporte[Saldo],Monatsexporte[Jahr],$B$4,Monatsexporte[Monat],6,Monatsexporte[Konto],B57)</f>
        <v>0</v>
      </c>
      <c r="X57" s="15">
        <f>SUMIFS(Monatsexporte[Saldo],Monatsexporte[Jahr],$B$5,Monatsexporte[Monat],6,Monatsexporte[Konto],B57)</f>
        <v>0</v>
      </c>
      <c r="Y57" s="22">
        <f t="shared" si="21"/>
        <v>0</v>
      </c>
      <c r="Z57" s="15">
        <f>SUMIFS(Monatsexporte[Saldo],Monatsexporte[Jahr],$B$4,Monatsexporte[Monat],7,Monatsexporte[Konto],B57)</f>
        <v>0</v>
      </c>
      <c r="AA57" s="15">
        <f>SUMIFS(Monatsexporte[Saldo],Monatsexporte[Jahr],$B$5,Monatsexporte[Monat],7,Monatsexporte[Konto],B57)</f>
        <v>0</v>
      </c>
      <c r="AB57" s="22">
        <f t="shared" si="22"/>
        <v>0</v>
      </c>
      <c r="AC57" s="15">
        <f>SUMIFS(Monatsexporte[Saldo],Monatsexporte[Jahr],$B$4,Monatsexporte[Monat],8,Monatsexporte[Konto],B57)</f>
        <v>0</v>
      </c>
      <c r="AD57" s="15">
        <f>SUMIFS(Monatsexporte[Saldo],Monatsexporte[Jahr],$B$5,Monatsexporte[Monat],8,Monatsexporte[Konto],B57)</f>
        <v>0</v>
      </c>
      <c r="AE57" s="22">
        <f t="shared" si="23"/>
        <v>0</v>
      </c>
      <c r="AF57" s="15">
        <f>SUMIFS(Monatsexporte[Saldo],Monatsexporte[Jahr],$B$4,Monatsexporte[Monat],9,Monatsexporte[Konto],B57)</f>
        <v>0</v>
      </c>
      <c r="AG57" s="15">
        <f>SUMIFS(Monatsexporte[Saldo],Monatsexporte[Jahr],$B$5,Monatsexporte[Monat],9,Monatsexporte[Konto],B57)</f>
        <v>0</v>
      </c>
      <c r="AH57" s="22">
        <f t="shared" si="24"/>
        <v>0</v>
      </c>
      <c r="AI57" s="15">
        <f>SUMIFS(Monatsexporte[Saldo],Monatsexporte[Jahr],$B$4,Monatsexporte[Monat],10,Monatsexporte[Konto],B57)</f>
        <v>0</v>
      </c>
      <c r="AJ57" s="15">
        <f>SUMIFS(Monatsexporte[Saldo],Monatsexporte[Jahr],$B$5,Monatsexporte[Monat],10,Monatsexporte[Konto],B57)</f>
        <v>0</v>
      </c>
      <c r="AK57" s="22">
        <f t="shared" si="25"/>
        <v>0</v>
      </c>
      <c r="AL57" s="15">
        <f>SUMIFS(Monatsexporte[Saldo],Monatsexporte[Jahr],$B$4,Monatsexporte[Monat],11,Monatsexporte[Konto],B57)</f>
        <v>0</v>
      </c>
      <c r="AM57" s="15">
        <f>SUMIFS(Monatsexporte[Saldo],Monatsexporte[Jahr],$B$5,Monatsexporte[Monat],11,Monatsexporte[Konto],B57)</f>
        <v>0</v>
      </c>
      <c r="AN57" s="22">
        <f t="shared" si="26"/>
        <v>0</v>
      </c>
      <c r="AO57" s="15">
        <f>SUMIFS(Monatsexporte[Saldo],Monatsexporte[Jahr],$B$4,Monatsexporte[Monat],12,Monatsexporte[Konto],B57)</f>
        <v>0</v>
      </c>
      <c r="AP57" s="15">
        <f>SUMIFS(Monatsexporte[Saldo],Monatsexporte[Jahr],$B$5,Monatsexporte[Monat],12,Monatsexporte[Konto],B57)</f>
        <v>0</v>
      </c>
      <c r="AQ57" s="22">
        <f t="shared" si="27"/>
        <v>0</v>
      </c>
    </row>
    <row r="58" spans="1:43" hidden="1" outlineLevel="1" x14ac:dyDescent="0.45">
      <c r="A58" s="10" t="s">
        <v>449</v>
      </c>
      <c r="B58" s="39">
        <v>6903312</v>
      </c>
      <c r="C58" s="15">
        <v>13429</v>
      </c>
      <c r="D58" s="15">
        <f ca="1">SUMIFS(Monatsexporte[Saldo],Monatsexporte[Jahr],$B$4,Monatsexporte[Monat],"&lt;="&amp;$B$8,Monatsexporte[Konto],B58)</f>
        <v>40287.72</v>
      </c>
      <c r="E58" s="15">
        <f ca="1">SUMIFS(Monatsexporte[Saldo],Monatsexporte[Jahr],$B$5,Monatsexporte[Monat],"&lt;="&amp;$B$8,Monatsexporte[Konto],B58)</f>
        <v>0</v>
      </c>
      <c r="F58" s="15">
        <f t="shared" ca="1" si="14"/>
        <v>40287.72</v>
      </c>
      <c r="G58" s="22">
        <f t="shared" ca="1" si="15"/>
        <v>0</v>
      </c>
      <c r="H58" s="15">
        <f>SUMIFS(Monatsexporte[Saldo],Monatsexporte[Jahr],$B$4,Monatsexporte[Monat],1,Monatsexporte[Konto],B58)</f>
        <v>0</v>
      </c>
      <c r="I58" s="15">
        <f>SUMIFS(Monatsexporte[Saldo],Monatsexporte[Jahr],$B$5,Monatsexporte[Monat],1,Monatsexporte[Konto],B58)</f>
        <v>0</v>
      </c>
      <c r="J58" s="22">
        <f t="shared" si="16"/>
        <v>0</v>
      </c>
      <c r="K58" s="15">
        <f>SUMIFS(Monatsexporte[Saldo],Monatsexporte[Jahr],$B$4,Monatsexporte[Monat],2,Monatsexporte[Konto],B58)</f>
        <v>0</v>
      </c>
      <c r="L58" s="15">
        <f>SUMIFS(Monatsexporte[Saldo],Monatsexporte[Jahr],$B$5,Monatsexporte[Monat],2,Monatsexporte[Konto],B58)</f>
        <v>0</v>
      </c>
      <c r="M58" s="22">
        <f t="shared" si="17"/>
        <v>0</v>
      </c>
      <c r="N58" s="15">
        <f>SUMIFS(Monatsexporte[Saldo],Monatsexporte[Jahr],$B$4,Monatsexporte[Monat],3,Monatsexporte[Konto],B58)</f>
        <v>13429.24</v>
      </c>
      <c r="O58" s="15">
        <f>SUMIFS(Monatsexporte[Saldo],Monatsexporte[Jahr],$B$5,Monatsexporte[Monat],3,Monatsexporte[Konto],B58)</f>
        <v>0</v>
      </c>
      <c r="P58" s="22">
        <f t="shared" si="18"/>
        <v>0</v>
      </c>
      <c r="Q58" s="15">
        <f>SUMIFS(Monatsexporte[Saldo],Monatsexporte[Jahr],$B$4,Monatsexporte[Monat],4,Monatsexporte[Konto],B58)</f>
        <v>13429.24</v>
      </c>
      <c r="R58" s="15">
        <f>SUMIFS(Monatsexporte[Saldo],Monatsexporte[Jahr],$B$5,Monatsexporte[Monat],4,Monatsexporte[Konto],B58)</f>
        <v>0</v>
      </c>
      <c r="S58" s="22">
        <f t="shared" si="19"/>
        <v>0</v>
      </c>
      <c r="T58" s="15">
        <f>SUMIFS(Monatsexporte[Saldo],Monatsexporte[Jahr],$B$4,Monatsexporte[Monat],5,Monatsexporte[Konto],B58)</f>
        <v>13429.24</v>
      </c>
      <c r="U58" s="15">
        <f>SUMIFS(Monatsexporte[Saldo],Monatsexporte[Jahr],$B$5,Monatsexporte[Monat],5,Monatsexporte[Konto],B58)</f>
        <v>0</v>
      </c>
      <c r="V58" s="22">
        <f t="shared" si="20"/>
        <v>0</v>
      </c>
      <c r="W58" s="15">
        <f>SUMIFS(Monatsexporte[Saldo],Monatsexporte[Jahr],$B$4,Monatsexporte[Monat],6,Monatsexporte[Konto],B58)</f>
        <v>0</v>
      </c>
      <c r="X58" s="15">
        <f>SUMIFS(Monatsexporte[Saldo],Monatsexporte[Jahr],$B$5,Monatsexporte[Monat],6,Monatsexporte[Konto],B58)</f>
        <v>0</v>
      </c>
      <c r="Y58" s="22">
        <f t="shared" si="21"/>
        <v>0</v>
      </c>
      <c r="Z58" s="15">
        <f>SUMIFS(Monatsexporte[Saldo],Monatsexporte[Jahr],$B$4,Monatsexporte[Monat],7,Monatsexporte[Konto],B58)</f>
        <v>0</v>
      </c>
      <c r="AA58" s="15">
        <f>SUMIFS(Monatsexporte[Saldo],Monatsexporte[Jahr],$B$5,Monatsexporte[Monat],7,Monatsexporte[Konto],B58)</f>
        <v>0</v>
      </c>
      <c r="AB58" s="22">
        <f t="shared" si="22"/>
        <v>0</v>
      </c>
      <c r="AC58" s="15">
        <f>SUMIFS(Monatsexporte[Saldo],Monatsexporte[Jahr],$B$4,Monatsexporte[Monat],8,Monatsexporte[Konto],B58)</f>
        <v>0</v>
      </c>
      <c r="AD58" s="15">
        <f>SUMIFS(Monatsexporte[Saldo],Monatsexporte[Jahr],$B$5,Monatsexporte[Monat],8,Monatsexporte[Konto],B58)</f>
        <v>0</v>
      </c>
      <c r="AE58" s="22">
        <f t="shared" si="23"/>
        <v>0</v>
      </c>
      <c r="AF58" s="15">
        <f>SUMIFS(Monatsexporte[Saldo],Monatsexporte[Jahr],$B$4,Monatsexporte[Monat],9,Monatsexporte[Konto],B58)</f>
        <v>0</v>
      </c>
      <c r="AG58" s="15">
        <f>SUMIFS(Monatsexporte[Saldo],Monatsexporte[Jahr],$B$5,Monatsexporte[Monat],9,Monatsexporte[Konto],B58)</f>
        <v>0</v>
      </c>
      <c r="AH58" s="22">
        <f t="shared" si="24"/>
        <v>0</v>
      </c>
      <c r="AI58" s="15">
        <f>SUMIFS(Monatsexporte[Saldo],Monatsexporte[Jahr],$B$4,Monatsexporte[Monat],10,Monatsexporte[Konto],B58)</f>
        <v>0</v>
      </c>
      <c r="AJ58" s="15">
        <f>SUMIFS(Monatsexporte[Saldo],Monatsexporte[Jahr],$B$5,Monatsexporte[Monat],10,Monatsexporte[Konto],B58)</f>
        <v>0</v>
      </c>
      <c r="AK58" s="22">
        <f t="shared" si="25"/>
        <v>0</v>
      </c>
      <c r="AL58" s="15">
        <f>SUMIFS(Monatsexporte[Saldo],Monatsexporte[Jahr],$B$4,Monatsexporte[Monat],11,Monatsexporte[Konto],B58)</f>
        <v>0</v>
      </c>
      <c r="AM58" s="15">
        <f>SUMIFS(Monatsexporte[Saldo],Monatsexporte[Jahr],$B$5,Monatsexporte[Monat],11,Monatsexporte[Konto],B58)</f>
        <v>0</v>
      </c>
      <c r="AN58" s="22">
        <f t="shared" si="26"/>
        <v>0</v>
      </c>
      <c r="AO58" s="15">
        <f>SUMIFS(Monatsexporte[Saldo],Monatsexporte[Jahr],$B$4,Monatsexporte[Monat],12,Monatsexporte[Konto],B58)</f>
        <v>0</v>
      </c>
      <c r="AP58" s="15">
        <f>SUMIFS(Monatsexporte[Saldo],Monatsexporte[Jahr],$B$5,Monatsexporte[Monat],12,Monatsexporte[Konto],B58)</f>
        <v>0</v>
      </c>
      <c r="AQ58" s="22">
        <f t="shared" si="27"/>
        <v>0</v>
      </c>
    </row>
    <row r="59" spans="1:43" hidden="1" outlineLevel="1" x14ac:dyDescent="0.45">
      <c r="A59" s="10" t="s">
        <v>450</v>
      </c>
      <c r="B59" s="39">
        <v>6903316</v>
      </c>
      <c r="C59" s="15">
        <v>13168</v>
      </c>
      <c r="D59" s="15">
        <f ca="1">SUMIFS(Monatsexporte[Saldo],Monatsexporte[Jahr],$B$4,Monatsexporte[Monat],"&lt;="&amp;$B$8,Monatsexporte[Konto],B59)</f>
        <v>39504.870000000003</v>
      </c>
      <c r="E59" s="15">
        <f ca="1">SUMIFS(Monatsexporte[Saldo],Monatsexporte[Jahr],$B$5,Monatsexporte[Monat],"&lt;="&amp;$B$8,Monatsexporte[Konto],B59)</f>
        <v>0</v>
      </c>
      <c r="F59" s="15">
        <f t="shared" ca="1" si="14"/>
        <v>39504.870000000003</v>
      </c>
      <c r="G59" s="22">
        <f t="shared" ca="1" si="15"/>
        <v>0</v>
      </c>
      <c r="H59" s="15">
        <f>SUMIFS(Monatsexporte[Saldo],Monatsexporte[Jahr],$B$4,Monatsexporte[Monat],1,Monatsexporte[Konto],B59)</f>
        <v>0</v>
      </c>
      <c r="I59" s="15">
        <f>SUMIFS(Monatsexporte[Saldo],Monatsexporte[Jahr],$B$5,Monatsexporte[Monat],1,Monatsexporte[Konto],B59)</f>
        <v>0</v>
      </c>
      <c r="J59" s="22">
        <f t="shared" si="16"/>
        <v>0</v>
      </c>
      <c r="K59" s="15">
        <f>SUMIFS(Monatsexporte[Saldo],Monatsexporte[Jahr],$B$4,Monatsexporte[Monat],2,Monatsexporte[Konto],B59)</f>
        <v>0</v>
      </c>
      <c r="L59" s="15">
        <f>SUMIFS(Monatsexporte[Saldo],Monatsexporte[Jahr],$B$5,Monatsexporte[Monat],2,Monatsexporte[Konto],B59)</f>
        <v>0</v>
      </c>
      <c r="M59" s="22">
        <f t="shared" si="17"/>
        <v>0</v>
      </c>
      <c r="N59" s="15">
        <f>SUMIFS(Monatsexporte[Saldo],Monatsexporte[Jahr],$B$4,Monatsexporte[Monat],3,Monatsexporte[Konto],B59)</f>
        <v>13168.29</v>
      </c>
      <c r="O59" s="15">
        <f>SUMIFS(Monatsexporte[Saldo],Monatsexporte[Jahr],$B$5,Monatsexporte[Monat],3,Monatsexporte[Konto],B59)</f>
        <v>0</v>
      </c>
      <c r="P59" s="22">
        <f t="shared" si="18"/>
        <v>0</v>
      </c>
      <c r="Q59" s="15">
        <f>SUMIFS(Monatsexporte[Saldo],Monatsexporte[Jahr],$B$4,Monatsexporte[Monat],4,Monatsexporte[Konto],B59)</f>
        <v>13168.29</v>
      </c>
      <c r="R59" s="15">
        <f>SUMIFS(Monatsexporte[Saldo],Monatsexporte[Jahr],$B$5,Monatsexporte[Monat],4,Monatsexporte[Konto],B59)</f>
        <v>0</v>
      </c>
      <c r="S59" s="22">
        <f t="shared" si="19"/>
        <v>0</v>
      </c>
      <c r="T59" s="15">
        <f>SUMIFS(Monatsexporte[Saldo],Monatsexporte[Jahr],$B$4,Monatsexporte[Monat],5,Monatsexporte[Konto],B59)</f>
        <v>13168.29</v>
      </c>
      <c r="U59" s="15">
        <f>SUMIFS(Monatsexporte[Saldo],Monatsexporte[Jahr],$B$5,Monatsexporte[Monat],5,Monatsexporte[Konto],B59)</f>
        <v>0</v>
      </c>
      <c r="V59" s="22">
        <f t="shared" si="20"/>
        <v>0</v>
      </c>
      <c r="W59" s="15">
        <f>SUMIFS(Monatsexporte[Saldo],Monatsexporte[Jahr],$B$4,Monatsexporte[Monat],6,Monatsexporte[Konto],B59)</f>
        <v>0</v>
      </c>
      <c r="X59" s="15">
        <f>SUMIFS(Monatsexporte[Saldo],Monatsexporte[Jahr],$B$5,Monatsexporte[Monat],6,Monatsexporte[Konto],B59)</f>
        <v>0</v>
      </c>
      <c r="Y59" s="22">
        <f t="shared" si="21"/>
        <v>0</v>
      </c>
      <c r="Z59" s="15">
        <f>SUMIFS(Monatsexporte[Saldo],Monatsexporte[Jahr],$B$4,Monatsexporte[Monat],7,Monatsexporte[Konto],B59)</f>
        <v>0</v>
      </c>
      <c r="AA59" s="15">
        <f>SUMIFS(Monatsexporte[Saldo],Monatsexporte[Jahr],$B$5,Monatsexporte[Monat],7,Monatsexporte[Konto],B59)</f>
        <v>0</v>
      </c>
      <c r="AB59" s="22">
        <f t="shared" si="22"/>
        <v>0</v>
      </c>
      <c r="AC59" s="15">
        <f>SUMIFS(Monatsexporte[Saldo],Monatsexporte[Jahr],$B$4,Monatsexporte[Monat],8,Monatsexporte[Konto],B59)</f>
        <v>0</v>
      </c>
      <c r="AD59" s="15">
        <f>SUMIFS(Monatsexporte[Saldo],Monatsexporte[Jahr],$B$5,Monatsexporte[Monat],8,Monatsexporte[Konto],B59)</f>
        <v>0</v>
      </c>
      <c r="AE59" s="22">
        <f t="shared" si="23"/>
        <v>0</v>
      </c>
      <c r="AF59" s="15">
        <f>SUMIFS(Monatsexporte[Saldo],Monatsexporte[Jahr],$B$4,Monatsexporte[Monat],9,Monatsexporte[Konto],B59)</f>
        <v>0</v>
      </c>
      <c r="AG59" s="15">
        <f>SUMIFS(Monatsexporte[Saldo],Monatsexporte[Jahr],$B$5,Monatsexporte[Monat],9,Monatsexporte[Konto],B59)</f>
        <v>0</v>
      </c>
      <c r="AH59" s="22">
        <f t="shared" si="24"/>
        <v>0</v>
      </c>
      <c r="AI59" s="15">
        <f>SUMIFS(Monatsexporte[Saldo],Monatsexporte[Jahr],$B$4,Monatsexporte[Monat],10,Monatsexporte[Konto],B59)</f>
        <v>0</v>
      </c>
      <c r="AJ59" s="15">
        <f>SUMIFS(Monatsexporte[Saldo],Monatsexporte[Jahr],$B$5,Monatsexporte[Monat],10,Monatsexporte[Konto],B59)</f>
        <v>0</v>
      </c>
      <c r="AK59" s="22">
        <f t="shared" si="25"/>
        <v>0</v>
      </c>
      <c r="AL59" s="15">
        <f>SUMIFS(Monatsexporte[Saldo],Monatsexporte[Jahr],$B$4,Monatsexporte[Monat],11,Monatsexporte[Konto],B59)</f>
        <v>0</v>
      </c>
      <c r="AM59" s="15">
        <f>SUMIFS(Monatsexporte[Saldo],Monatsexporte[Jahr],$B$5,Monatsexporte[Monat],11,Monatsexporte[Konto],B59)</f>
        <v>0</v>
      </c>
      <c r="AN59" s="22">
        <f t="shared" si="26"/>
        <v>0</v>
      </c>
      <c r="AO59" s="15">
        <f>SUMIFS(Monatsexporte[Saldo],Monatsexporte[Jahr],$B$4,Monatsexporte[Monat],12,Monatsexporte[Konto],B59)</f>
        <v>0</v>
      </c>
      <c r="AP59" s="15">
        <f>SUMIFS(Monatsexporte[Saldo],Monatsexporte[Jahr],$B$5,Monatsexporte[Monat],12,Monatsexporte[Konto],B59)</f>
        <v>0</v>
      </c>
      <c r="AQ59" s="22">
        <f t="shared" si="27"/>
        <v>0</v>
      </c>
    </row>
    <row r="60" spans="1:43" hidden="1" outlineLevel="1" x14ac:dyDescent="0.45">
      <c r="A60" s="10" t="s">
        <v>451</v>
      </c>
      <c r="B60" s="39">
        <v>6903351</v>
      </c>
      <c r="C60" s="15">
        <v>8579</v>
      </c>
      <c r="D60" s="15">
        <f ca="1">SUMIFS(Monatsexporte[Saldo],Monatsexporte[Jahr],$B$4,Monatsexporte[Monat],"&lt;="&amp;$B$8,Monatsexporte[Konto],B60)</f>
        <v>25738.199999999997</v>
      </c>
      <c r="E60" s="15">
        <f ca="1">SUMIFS(Monatsexporte[Saldo],Monatsexporte[Jahr],$B$5,Monatsexporte[Monat],"&lt;="&amp;$B$8,Monatsexporte[Konto],B60)</f>
        <v>0</v>
      </c>
      <c r="F60" s="15">
        <f t="shared" ca="1" si="14"/>
        <v>25738.199999999997</v>
      </c>
      <c r="G60" s="22">
        <f t="shared" ca="1" si="15"/>
        <v>0</v>
      </c>
      <c r="H60" s="15">
        <f>SUMIFS(Monatsexporte[Saldo],Monatsexporte[Jahr],$B$4,Monatsexporte[Monat],1,Monatsexporte[Konto],B60)</f>
        <v>0</v>
      </c>
      <c r="I60" s="15">
        <f>SUMIFS(Monatsexporte[Saldo],Monatsexporte[Jahr],$B$5,Monatsexporte[Monat],1,Monatsexporte[Konto],B60)</f>
        <v>0</v>
      </c>
      <c r="J60" s="22">
        <f t="shared" si="16"/>
        <v>0</v>
      </c>
      <c r="K60" s="15">
        <f>SUMIFS(Monatsexporte[Saldo],Monatsexporte[Jahr],$B$4,Monatsexporte[Monat],2,Monatsexporte[Konto],B60)</f>
        <v>0</v>
      </c>
      <c r="L60" s="15">
        <f>SUMIFS(Monatsexporte[Saldo],Monatsexporte[Jahr],$B$5,Monatsexporte[Monat],2,Monatsexporte[Konto],B60)</f>
        <v>0</v>
      </c>
      <c r="M60" s="22">
        <f t="shared" si="17"/>
        <v>0</v>
      </c>
      <c r="N60" s="15">
        <f>SUMIFS(Monatsexporte[Saldo],Monatsexporte[Jahr],$B$4,Monatsexporte[Monat],3,Monatsexporte[Konto],B60)</f>
        <v>8579.4</v>
      </c>
      <c r="O60" s="15">
        <f>SUMIFS(Monatsexporte[Saldo],Monatsexporte[Jahr],$B$5,Monatsexporte[Monat],3,Monatsexporte[Konto],B60)</f>
        <v>0</v>
      </c>
      <c r="P60" s="22">
        <f t="shared" si="18"/>
        <v>0</v>
      </c>
      <c r="Q60" s="15">
        <f>SUMIFS(Monatsexporte[Saldo],Monatsexporte[Jahr],$B$4,Monatsexporte[Monat],4,Monatsexporte[Konto],B60)</f>
        <v>8579.4</v>
      </c>
      <c r="R60" s="15">
        <f>SUMIFS(Monatsexporte[Saldo],Monatsexporte[Jahr],$B$5,Monatsexporte[Monat],4,Monatsexporte[Konto],B60)</f>
        <v>0</v>
      </c>
      <c r="S60" s="22">
        <f t="shared" si="19"/>
        <v>0</v>
      </c>
      <c r="T60" s="15">
        <f>SUMIFS(Monatsexporte[Saldo],Monatsexporte[Jahr],$B$4,Monatsexporte[Monat],5,Monatsexporte[Konto],B60)</f>
        <v>8579.4</v>
      </c>
      <c r="U60" s="15">
        <f>SUMIFS(Monatsexporte[Saldo],Monatsexporte[Jahr],$B$5,Monatsexporte[Monat],5,Monatsexporte[Konto],B60)</f>
        <v>0</v>
      </c>
      <c r="V60" s="22">
        <f t="shared" si="20"/>
        <v>0</v>
      </c>
      <c r="W60" s="15">
        <f>SUMIFS(Monatsexporte[Saldo],Monatsexporte[Jahr],$B$4,Monatsexporte[Monat],6,Monatsexporte[Konto],B60)</f>
        <v>0</v>
      </c>
      <c r="X60" s="15">
        <f>SUMIFS(Monatsexporte[Saldo],Monatsexporte[Jahr],$B$5,Monatsexporte[Monat],6,Monatsexporte[Konto],B60)</f>
        <v>0</v>
      </c>
      <c r="Y60" s="22">
        <f t="shared" si="21"/>
        <v>0</v>
      </c>
      <c r="Z60" s="15">
        <f>SUMIFS(Monatsexporte[Saldo],Monatsexporte[Jahr],$B$4,Monatsexporte[Monat],7,Monatsexporte[Konto],B60)</f>
        <v>0</v>
      </c>
      <c r="AA60" s="15">
        <f>SUMIFS(Monatsexporte[Saldo],Monatsexporte[Jahr],$B$5,Monatsexporte[Monat],7,Monatsexporte[Konto],B60)</f>
        <v>0</v>
      </c>
      <c r="AB60" s="22">
        <f t="shared" si="22"/>
        <v>0</v>
      </c>
      <c r="AC60" s="15">
        <f>SUMIFS(Monatsexporte[Saldo],Monatsexporte[Jahr],$B$4,Monatsexporte[Monat],8,Monatsexporte[Konto],B60)</f>
        <v>0</v>
      </c>
      <c r="AD60" s="15">
        <f>SUMIFS(Monatsexporte[Saldo],Monatsexporte[Jahr],$B$5,Monatsexporte[Monat],8,Monatsexporte[Konto],B60)</f>
        <v>0</v>
      </c>
      <c r="AE60" s="22">
        <f t="shared" si="23"/>
        <v>0</v>
      </c>
      <c r="AF60" s="15">
        <f>SUMIFS(Monatsexporte[Saldo],Monatsexporte[Jahr],$B$4,Monatsexporte[Monat],9,Monatsexporte[Konto],B60)</f>
        <v>0</v>
      </c>
      <c r="AG60" s="15">
        <f>SUMIFS(Monatsexporte[Saldo],Monatsexporte[Jahr],$B$5,Monatsexporte[Monat],9,Monatsexporte[Konto],B60)</f>
        <v>0</v>
      </c>
      <c r="AH60" s="22">
        <f t="shared" si="24"/>
        <v>0</v>
      </c>
      <c r="AI60" s="15">
        <f>SUMIFS(Monatsexporte[Saldo],Monatsexporte[Jahr],$B$4,Monatsexporte[Monat],10,Monatsexporte[Konto],B60)</f>
        <v>0</v>
      </c>
      <c r="AJ60" s="15">
        <f>SUMIFS(Monatsexporte[Saldo],Monatsexporte[Jahr],$B$5,Monatsexporte[Monat],10,Monatsexporte[Konto],B60)</f>
        <v>0</v>
      </c>
      <c r="AK60" s="22">
        <f t="shared" si="25"/>
        <v>0</v>
      </c>
      <c r="AL60" s="15">
        <f>SUMIFS(Monatsexporte[Saldo],Monatsexporte[Jahr],$B$4,Monatsexporte[Monat],11,Monatsexporte[Konto],B60)</f>
        <v>0</v>
      </c>
      <c r="AM60" s="15">
        <f>SUMIFS(Monatsexporte[Saldo],Monatsexporte[Jahr],$B$5,Monatsexporte[Monat],11,Monatsexporte[Konto],B60)</f>
        <v>0</v>
      </c>
      <c r="AN60" s="22">
        <f t="shared" si="26"/>
        <v>0</v>
      </c>
      <c r="AO60" s="15">
        <f>SUMIFS(Monatsexporte[Saldo],Monatsexporte[Jahr],$B$4,Monatsexporte[Monat],12,Monatsexporte[Konto],B60)</f>
        <v>0</v>
      </c>
      <c r="AP60" s="15">
        <f>SUMIFS(Monatsexporte[Saldo],Monatsexporte[Jahr],$B$5,Monatsexporte[Monat],12,Monatsexporte[Konto],B60)</f>
        <v>0</v>
      </c>
      <c r="AQ60" s="22">
        <f t="shared" si="27"/>
        <v>0</v>
      </c>
    </row>
    <row r="61" spans="1:43" hidden="1" outlineLevel="1" x14ac:dyDescent="0.45">
      <c r="A61" s="10" t="s">
        <v>452</v>
      </c>
      <c r="B61" s="39">
        <v>6903352</v>
      </c>
      <c r="C61" s="15">
        <v>12789</v>
      </c>
      <c r="D61" s="15">
        <f ca="1">SUMIFS(Monatsexporte[Saldo],Monatsexporte[Jahr],$B$4,Monatsexporte[Monat],"&lt;="&amp;$B$8,Monatsexporte[Konto],B61)</f>
        <v>38366.699999999997</v>
      </c>
      <c r="E61" s="15">
        <f ca="1">SUMIFS(Monatsexporte[Saldo],Monatsexporte[Jahr],$B$5,Monatsexporte[Monat],"&lt;="&amp;$B$8,Monatsexporte[Konto],B61)</f>
        <v>0</v>
      </c>
      <c r="F61" s="15">
        <f t="shared" ca="1" si="14"/>
        <v>38366.699999999997</v>
      </c>
      <c r="G61" s="22">
        <f t="shared" ca="1" si="15"/>
        <v>0</v>
      </c>
      <c r="H61" s="15">
        <f>SUMIFS(Monatsexporte[Saldo],Monatsexporte[Jahr],$B$4,Monatsexporte[Monat],1,Monatsexporte[Konto],B61)</f>
        <v>0</v>
      </c>
      <c r="I61" s="15">
        <f>SUMIFS(Monatsexporte[Saldo],Monatsexporte[Jahr],$B$5,Monatsexporte[Monat],1,Monatsexporte[Konto],B61)</f>
        <v>0</v>
      </c>
      <c r="J61" s="22">
        <f t="shared" si="16"/>
        <v>0</v>
      </c>
      <c r="K61" s="15">
        <f>SUMIFS(Monatsexporte[Saldo],Monatsexporte[Jahr],$B$4,Monatsexporte[Monat],2,Monatsexporte[Konto],B61)</f>
        <v>0</v>
      </c>
      <c r="L61" s="15">
        <f>SUMIFS(Monatsexporte[Saldo],Monatsexporte[Jahr],$B$5,Monatsexporte[Monat],2,Monatsexporte[Konto],B61)</f>
        <v>0</v>
      </c>
      <c r="M61" s="22">
        <f t="shared" si="17"/>
        <v>0</v>
      </c>
      <c r="N61" s="15">
        <f>SUMIFS(Monatsexporte[Saldo],Monatsexporte[Jahr],$B$4,Monatsexporte[Monat],3,Monatsexporte[Konto],B61)</f>
        <v>12788.9</v>
      </c>
      <c r="O61" s="15">
        <f>SUMIFS(Monatsexporte[Saldo],Monatsexporte[Jahr],$B$5,Monatsexporte[Monat],3,Monatsexporte[Konto],B61)</f>
        <v>0</v>
      </c>
      <c r="P61" s="22">
        <f t="shared" si="18"/>
        <v>0</v>
      </c>
      <c r="Q61" s="15">
        <f>SUMIFS(Monatsexporte[Saldo],Monatsexporte[Jahr],$B$4,Monatsexporte[Monat],4,Monatsexporte[Konto],B61)</f>
        <v>12788.9</v>
      </c>
      <c r="R61" s="15">
        <f>SUMIFS(Monatsexporte[Saldo],Monatsexporte[Jahr],$B$5,Monatsexporte[Monat],4,Monatsexporte[Konto],B61)</f>
        <v>0</v>
      </c>
      <c r="S61" s="22">
        <f t="shared" si="19"/>
        <v>0</v>
      </c>
      <c r="T61" s="15">
        <f>SUMIFS(Monatsexporte[Saldo],Monatsexporte[Jahr],$B$4,Monatsexporte[Monat],5,Monatsexporte[Konto],B61)</f>
        <v>12788.9</v>
      </c>
      <c r="U61" s="15">
        <f>SUMIFS(Monatsexporte[Saldo],Monatsexporte[Jahr],$B$5,Monatsexporte[Monat],5,Monatsexporte[Konto],B61)</f>
        <v>0</v>
      </c>
      <c r="V61" s="22">
        <f t="shared" si="20"/>
        <v>0</v>
      </c>
      <c r="W61" s="15">
        <f>SUMIFS(Monatsexporte[Saldo],Monatsexporte[Jahr],$B$4,Monatsexporte[Monat],6,Monatsexporte[Konto],B61)</f>
        <v>0</v>
      </c>
      <c r="X61" s="15">
        <f>SUMIFS(Monatsexporte[Saldo],Monatsexporte[Jahr],$B$5,Monatsexporte[Monat],6,Monatsexporte[Konto],B61)</f>
        <v>0</v>
      </c>
      <c r="Y61" s="22">
        <f t="shared" si="21"/>
        <v>0</v>
      </c>
      <c r="Z61" s="15">
        <f>SUMIFS(Monatsexporte[Saldo],Monatsexporte[Jahr],$B$4,Monatsexporte[Monat],7,Monatsexporte[Konto],B61)</f>
        <v>0</v>
      </c>
      <c r="AA61" s="15">
        <f>SUMIFS(Monatsexporte[Saldo],Monatsexporte[Jahr],$B$5,Monatsexporte[Monat],7,Monatsexporte[Konto],B61)</f>
        <v>0</v>
      </c>
      <c r="AB61" s="22">
        <f t="shared" si="22"/>
        <v>0</v>
      </c>
      <c r="AC61" s="15">
        <f>SUMIFS(Monatsexporte[Saldo],Monatsexporte[Jahr],$B$4,Monatsexporte[Monat],8,Monatsexporte[Konto],B61)</f>
        <v>0</v>
      </c>
      <c r="AD61" s="15">
        <f>SUMIFS(Monatsexporte[Saldo],Monatsexporte[Jahr],$B$5,Monatsexporte[Monat],8,Monatsexporte[Konto],B61)</f>
        <v>0</v>
      </c>
      <c r="AE61" s="22">
        <f t="shared" si="23"/>
        <v>0</v>
      </c>
      <c r="AF61" s="15">
        <f>SUMIFS(Monatsexporte[Saldo],Monatsexporte[Jahr],$B$4,Monatsexporte[Monat],9,Monatsexporte[Konto],B61)</f>
        <v>0</v>
      </c>
      <c r="AG61" s="15">
        <f>SUMIFS(Monatsexporte[Saldo],Monatsexporte[Jahr],$B$5,Monatsexporte[Monat],9,Monatsexporte[Konto],B61)</f>
        <v>0</v>
      </c>
      <c r="AH61" s="22">
        <f t="shared" si="24"/>
        <v>0</v>
      </c>
      <c r="AI61" s="15">
        <f>SUMIFS(Monatsexporte[Saldo],Monatsexporte[Jahr],$B$4,Monatsexporte[Monat],10,Monatsexporte[Konto],B61)</f>
        <v>0</v>
      </c>
      <c r="AJ61" s="15">
        <f>SUMIFS(Monatsexporte[Saldo],Monatsexporte[Jahr],$B$5,Monatsexporte[Monat],10,Monatsexporte[Konto],B61)</f>
        <v>0</v>
      </c>
      <c r="AK61" s="22">
        <f t="shared" si="25"/>
        <v>0</v>
      </c>
      <c r="AL61" s="15">
        <f>SUMIFS(Monatsexporte[Saldo],Monatsexporte[Jahr],$B$4,Monatsexporte[Monat],11,Monatsexporte[Konto],B61)</f>
        <v>0</v>
      </c>
      <c r="AM61" s="15">
        <f>SUMIFS(Monatsexporte[Saldo],Monatsexporte[Jahr],$B$5,Monatsexporte[Monat],11,Monatsexporte[Konto],B61)</f>
        <v>0</v>
      </c>
      <c r="AN61" s="22">
        <f t="shared" si="26"/>
        <v>0</v>
      </c>
      <c r="AO61" s="15">
        <f>SUMIFS(Monatsexporte[Saldo],Monatsexporte[Jahr],$B$4,Monatsexporte[Monat],12,Monatsexporte[Konto],B61)</f>
        <v>0</v>
      </c>
      <c r="AP61" s="15">
        <f>SUMIFS(Monatsexporte[Saldo],Monatsexporte[Jahr],$B$5,Monatsexporte[Monat],12,Monatsexporte[Konto],B61)</f>
        <v>0</v>
      </c>
      <c r="AQ61" s="22">
        <f t="shared" si="27"/>
        <v>0</v>
      </c>
    </row>
    <row r="62" spans="1:43" hidden="1" outlineLevel="1" x14ac:dyDescent="0.45">
      <c r="A62" s="10" t="s">
        <v>453</v>
      </c>
      <c r="B62" s="39">
        <v>6903353</v>
      </c>
      <c r="C62" s="15">
        <v>537</v>
      </c>
      <c r="D62" s="15">
        <f ca="1">SUMIFS(Monatsexporte[Saldo],Monatsexporte[Jahr],$B$4,Monatsexporte[Monat],"&lt;="&amp;$B$8,Monatsexporte[Konto],B62)</f>
        <v>1610.46</v>
      </c>
      <c r="E62" s="15">
        <f ca="1">SUMIFS(Monatsexporte[Saldo],Monatsexporte[Jahr],$B$5,Monatsexporte[Monat],"&lt;="&amp;$B$8,Monatsexporte[Konto],B62)</f>
        <v>0</v>
      </c>
      <c r="F62" s="15">
        <f t="shared" ca="1" si="14"/>
        <v>1610.46</v>
      </c>
      <c r="G62" s="22">
        <f t="shared" ca="1" si="15"/>
        <v>0</v>
      </c>
      <c r="H62" s="15">
        <f>SUMIFS(Monatsexporte[Saldo],Monatsexporte[Jahr],$B$4,Monatsexporte[Monat],1,Monatsexporte[Konto],B62)</f>
        <v>0</v>
      </c>
      <c r="I62" s="15">
        <f>SUMIFS(Monatsexporte[Saldo],Monatsexporte[Jahr],$B$5,Monatsexporte[Monat],1,Monatsexporte[Konto],B62)</f>
        <v>0</v>
      </c>
      <c r="J62" s="22">
        <f t="shared" si="16"/>
        <v>0</v>
      </c>
      <c r="K62" s="15">
        <f>SUMIFS(Monatsexporte[Saldo],Monatsexporte[Jahr],$B$4,Monatsexporte[Monat],2,Monatsexporte[Konto],B62)</f>
        <v>0</v>
      </c>
      <c r="L62" s="15">
        <f>SUMIFS(Monatsexporte[Saldo],Monatsexporte[Jahr],$B$5,Monatsexporte[Monat],2,Monatsexporte[Konto],B62)</f>
        <v>0</v>
      </c>
      <c r="M62" s="22">
        <f t="shared" si="17"/>
        <v>0</v>
      </c>
      <c r="N62" s="15">
        <f>SUMIFS(Monatsexporte[Saldo],Monatsexporte[Jahr],$B$4,Monatsexporte[Monat],3,Monatsexporte[Konto],B62)</f>
        <v>536.82000000000005</v>
      </c>
      <c r="O62" s="15">
        <f>SUMIFS(Monatsexporte[Saldo],Monatsexporte[Jahr],$B$5,Monatsexporte[Monat],3,Monatsexporte[Konto],B62)</f>
        <v>0</v>
      </c>
      <c r="P62" s="22">
        <f t="shared" si="18"/>
        <v>0</v>
      </c>
      <c r="Q62" s="15">
        <f>SUMIFS(Monatsexporte[Saldo],Monatsexporte[Jahr],$B$4,Monatsexporte[Monat],4,Monatsexporte[Konto],B62)</f>
        <v>536.82000000000005</v>
      </c>
      <c r="R62" s="15">
        <f>SUMIFS(Monatsexporte[Saldo],Monatsexporte[Jahr],$B$5,Monatsexporte[Monat],4,Monatsexporte[Konto],B62)</f>
        <v>0</v>
      </c>
      <c r="S62" s="22">
        <f t="shared" si="19"/>
        <v>0</v>
      </c>
      <c r="T62" s="15">
        <f>SUMIFS(Monatsexporte[Saldo],Monatsexporte[Jahr],$B$4,Monatsexporte[Monat],5,Monatsexporte[Konto],B62)</f>
        <v>536.82000000000005</v>
      </c>
      <c r="U62" s="15">
        <f>SUMIFS(Monatsexporte[Saldo],Monatsexporte[Jahr],$B$5,Monatsexporte[Monat],5,Monatsexporte[Konto],B62)</f>
        <v>0</v>
      </c>
      <c r="V62" s="22">
        <f t="shared" si="20"/>
        <v>0</v>
      </c>
      <c r="W62" s="15">
        <f>SUMIFS(Monatsexporte[Saldo],Monatsexporte[Jahr],$B$4,Monatsexporte[Monat],6,Monatsexporte[Konto],B62)</f>
        <v>0</v>
      </c>
      <c r="X62" s="15">
        <f>SUMIFS(Monatsexporte[Saldo],Monatsexporte[Jahr],$B$5,Monatsexporte[Monat],6,Monatsexporte[Konto],B62)</f>
        <v>0</v>
      </c>
      <c r="Y62" s="22">
        <f t="shared" si="21"/>
        <v>0</v>
      </c>
      <c r="Z62" s="15">
        <f>SUMIFS(Monatsexporte[Saldo],Monatsexporte[Jahr],$B$4,Monatsexporte[Monat],7,Monatsexporte[Konto],B62)</f>
        <v>0</v>
      </c>
      <c r="AA62" s="15">
        <f>SUMIFS(Monatsexporte[Saldo],Monatsexporte[Jahr],$B$5,Monatsexporte[Monat],7,Monatsexporte[Konto],B62)</f>
        <v>0</v>
      </c>
      <c r="AB62" s="22">
        <f t="shared" si="22"/>
        <v>0</v>
      </c>
      <c r="AC62" s="15">
        <f>SUMIFS(Monatsexporte[Saldo],Monatsexporte[Jahr],$B$4,Monatsexporte[Monat],8,Monatsexporte[Konto],B62)</f>
        <v>0</v>
      </c>
      <c r="AD62" s="15">
        <f>SUMIFS(Monatsexporte[Saldo],Monatsexporte[Jahr],$B$5,Monatsexporte[Monat],8,Monatsexporte[Konto],B62)</f>
        <v>0</v>
      </c>
      <c r="AE62" s="22">
        <f t="shared" si="23"/>
        <v>0</v>
      </c>
      <c r="AF62" s="15">
        <f>SUMIFS(Monatsexporte[Saldo],Monatsexporte[Jahr],$B$4,Monatsexporte[Monat],9,Monatsexporte[Konto],B62)</f>
        <v>0</v>
      </c>
      <c r="AG62" s="15">
        <f>SUMIFS(Monatsexporte[Saldo],Monatsexporte[Jahr],$B$5,Monatsexporte[Monat],9,Monatsexporte[Konto],B62)</f>
        <v>0</v>
      </c>
      <c r="AH62" s="22">
        <f t="shared" si="24"/>
        <v>0</v>
      </c>
      <c r="AI62" s="15">
        <f>SUMIFS(Monatsexporte[Saldo],Monatsexporte[Jahr],$B$4,Monatsexporte[Monat],10,Monatsexporte[Konto],B62)</f>
        <v>0</v>
      </c>
      <c r="AJ62" s="15">
        <f>SUMIFS(Monatsexporte[Saldo],Monatsexporte[Jahr],$B$5,Monatsexporte[Monat],10,Monatsexporte[Konto],B62)</f>
        <v>0</v>
      </c>
      <c r="AK62" s="22">
        <f t="shared" si="25"/>
        <v>0</v>
      </c>
      <c r="AL62" s="15">
        <f>SUMIFS(Monatsexporte[Saldo],Monatsexporte[Jahr],$B$4,Monatsexporte[Monat],11,Monatsexporte[Konto],B62)</f>
        <v>0</v>
      </c>
      <c r="AM62" s="15">
        <f>SUMIFS(Monatsexporte[Saldo],Monatsexporte[Jahr],$B$5,Monatsexporte[Monat],11,Monatsexporte[Konto],B62)</f>
        <v>0</v>
      </c>
      <c r="AN62" s="22">
        <f t="shared" si="26"/>
        <v>0</v>
      </c>
      <c r="AO62" s="15">
        <f>SUMIFS(Monatsexporte[Saldo],Monatsexporte[Jahr],$B$4,Monatsexporte[Monat],12,Monatsexporte[Konto],B62)</f>
        <v>0</v>
      </c>
      <c r="AP62" s="15">
        <f>SUMIFS(Monatsexporte[Saldo],Monatsexporte[Jahr],$B$5,Monatsexporte[Monat],12,Monatsexporte[Konto],B62)</f>
        <v>0</v>
      </c>
      <c r="AQ62" s="22">
        <f t="shared" si="27"/>
        <v>0</v>
      </c>
    </row>
    <row r="63" spans="1:43" hidden="1" outlineLevel="1" x14ac:dyDescent="0.45">
      <c r="A63" s="10" t="s">
        <v>454</v>
      </c>
      <c r="B63" s="39">
        <v>6903354</v>
      </c>
      <c r="C63" s="15">
        <v>874</v>
      </c>
      <c r="D63" s="15">
        <f ca="1">SUMIFS(Monatsexporte[Saldo],Monatsexporte[Jahr],$B$4,Monatsexporte[Monat],"&lt;="&amp;$B$8,Monatsexporte[Konto],B63)</f>
        <v>2621.16</v>
      </c>
      <c r="E63" s="15">
        <f ca="1">SUMIFS(Monatsexporte[Saldo],Monatsexporte[Jahr],$B$5,Monatsexporte[Monat],"&lt;="&amp;$B$8,Monatsexporte[Konto],B63)</f>
        <v>0</v>
      </c>
      <c r="F63" s="15">
        <f t="shared" ca="1" si="14"/>
        <v>2621.16</v>
      </c>
      <c r="G63" s="22">
        <f t="shared" ca="1" si="15"/>
        <v>0</v>
      </c>
      <c r="H63" s="15">
        <f>SUMIFS(Monatsexporte[Saldo],Monatsexporte[Jahr],$B$4,Monatsexporte[Monat],1,Monatsexporte[Konto],B63)</f>
        <v>0</v>
      </c>
      <c r="I63" s="15">
        <f>SUMIFS(Monatsexporte[Saldo],Monatsexporte[Jahr],$B$5,Monatsexporte[Monat],1,Monatsexporte[Konto],B63)</f>
        <v>0</v>
      </c>
      <c r="J63" s="22">
        <f t="shared" si="16"/>
        <v>0</v>
      </c>
      <c r="K63" s="15">
        <f>SUMIFS(Monatsexporte[Saldo],Monatsexporte[Jahr],$B$4,Monatsexporte[Monat],2,Monatsexporte[Konto],B63)</f>
        <v>0</v>
      </c>
      <c r="L63" s="15">
        <f>SUMIFS(Monatsexporte[Saldo],Monatsexporte[Jahr],$B$5,Monatsexporte[Monat],2,Monatsexporte[Konto],B63)</f>
        <v>0</v>
      </c>
      <c r="M63" s="22">
        <f t="shared" si="17"/>
        <v>0</v>
      </c>
      <c r="N63" s="15">
        <f>SUMIFS(Monatsexporte[Saldo],Monatsexporte[Jahr],$B$4,Monatsexporte[Monat],3,Monatsexporte[Konto],B63)</f>
        <v>873.72</v>
      </c>
      <c r="O63" s="15">
        <f>SUMIFS(Monatsexporte[Saldo],Monatsexporte[Jahr],$B$5,Monatsexporte[Monat],3,Monatsexporte[Konto],B63)</f>
        <v>0</v>
      </c>
      <c r="P63" s="22">
        <f t="shared" si="18"/>
        <v>0</v>
      </c>
      <c r="Q63" s="15">
        <f>SUMIFS(Monatsexporte[Saldo],Monatsexporte[Jahr],$B$4,Monatsexporte[Monat],4,Monatsexporte[Konto],B63)</f>
        <v>873.72</v>
      </c>
      <c r="R63" s="15">
        <f>SUMIFS(Monatsexporte[Saldo],Monatsexporte[Jahr],$B$5,Monatsexporte[Monat],4,Monatsexporte[Konto],B63)</f>
        <v>0</v>
      </c>
      <c r="S63" s="22">
        <f t="shared" si="19"/>
        <v>0</v>
      </c>
      <c r="T63" s="15">
        <f>SUMIFS(Monatsexporte[Saldo],Monatsexporte[Jahr],$B$4,Monatsexporte[Monat],5,Monatsexporte[Konto],B63)</f>
        <v>873.72</v>
      </c>
      <c r="U63" s="15">
        <f>SUMIFS(Monatsexporte[Saldo],Monatsexporte[Jahr],$B$5,Monatsexporte[Monat],5,Monatsexporte[Konto],B63)</f>
        <v>0</v>
      </c>
      <c r="V63" s="22">
        <f t="shared" si="20"/>
        <v>0</v>
      </c>
      <c r="W63" s="15">
        <f>SUMIFS(Monatsexporte[Saldo],Monatsexporte[Jahr],$B$4,Monatsexporte[Monat],6,Monatsexporte[Konto],B63)</f>
        <v>0</v>
      </c>
      <c r="X63" s="15">
        <f>SUMIFS(Monatsexporte[Saldo],Monatsexporte[Jahr],$B$5,Monatsexporte[Monat],6,Monatsexporte[Konto],B63)</f>
        <v>0</v>
      </c>
      <c r="Y63" s="22">
        <f t="shared" si="21"/>
        <v>0</v>
      </c>
      <c r="Z63" s="15">
        <f>SUMIFS(Monatsexporte[Saldo],Monatsexporte[Jahr],$B$4,Monatsexporte[Monat],7,Monatsexporte[Konto],B63)</f>
        <v>0</v>
      </c>
      <c r="AA63" s="15">
        <f>SUMIFS(Monatsexporte[Saldo],Monatsexporte[Jahr],$B$5,Monatsexporte[Monat],7,Monatsexporte[Konto],B63)</f>
        <v>0</v>
      </c>
      <c r="AB63" s="22">
        <f t="shared" si="22"/>
        <v>0</v>
      </c>
      <c r="AC63" s="15">
        <f>SUMIFS(Monatsexporte[Saldo],Monatsexporte[Jahr],$B$4,Monatsexporte[Monat],8,Monatsexporte[Konto],B63)</f>
        <v>0</v>
      </c>
      <c r="AD63" s="15">
        <f>SUMIFS(Monatsexporte[Saldo],Monatsexporte[Jahr],$B$5,Monatsexporte[Monat],8,Monatsexporte[Konto],B63)</f>
        <v>0</v>
      </c>
      <c r="AE63" s="22">
        <f t="shared" si="23"/>
        <v>0</v>
      </c>
      <c r="AF63" s="15">
        <f>SUMIFS(Monatsexporte[Saldo],Monatsexporte[Jahr],$B$4,Monatsexporte[Monat],9,Monatsexporte[Konto],B63)</f>
        <v>0</v>
      </c>
      <c r="AG63" s="15">
        <f>SUMIFS(Monatsexporte[Saldo],Monatsexporte[Jahr],$B$5,Monatsexporte[Monat],9,Monatsexporte[Konto],B63)</f>
        <v>0</v>
      </c>
      <c r="AH63" s="22">
        <f t="shared" si="24"/>
        <v>0</v>
      </c>
      <c r="AI63" s="15">
        <f>SUMIFS(Monatsexporte[Saldo],Monatsexporte[Jahr],$B$4,Monatsexporte[Monat],10,Monatsexporte[Konto],B63)</f>
        <v>0</v>
      </c>
      <c r="AJ63" s="15">
        <f>SUMIFS(Monatsexporte[Saldo],Monatsexporte[Jahr],$B$5,Monatsexporte[Monat],10,Monatsexporte[Konto],B63)</f>
        <v>0</v>
      </c>
      <c r="AK63" s="22">
        <f t="shared" si="25"/>
        <v>0</v>
      </c>
      <c r="AL63" s="15">
        <f>SUMIFS(Monatsexporte[Saldo],Monatsexporte[Jahr],$B$4,Monatsexporte[Monat],11,Monatsexporte[Konto],B63)</f>
        <v>0</v>
      </c>
      <c r="AM63" s="15">
        <f>SUMIFS(Monatsexporte[Saldo],Monatsexporte[Jahr],$B$5,Monatsexporte[Monat],11,Monatsexporte[Konto],B63)</f>
        <v>0</v>
      </c>
      <c r="AN63" s="22">
        <f t="shared" si="26"/>
        <v>0</v>
      </c>
      <c r="AO63" s="15">
        <f>SUMIFS(Monatsexporte[Saldo],Monatsexporte[Jahr],$B$4,Monatsexporte[Monat],12,Monatsexporte[Konto],B63)</f>
        <v>0</v>
      </c>
      <c r="AP63" s="15">
        <f>SUMIFS(Monatsexporte[Saldo],Monatsexporte[Jahr],$B$5,Monatsexporte[Monat],12,Monatsexporte[Konto],B63)</f>
        <v>0</v>
      </c>
      <c r="AQ63" s="22">
        <f t="shared" si="27"/>
        <v>0</v>
      </c>
    </row>
    <row r="64" spans="1:43" collapsed="1" x14ac:dyDescent="0.45">
      <c r="A64" s="1" t="s">
        <v>443</v>
      </c>
      <c r="B64" s="39" t="s">
        <v>444</v>
      </c>
      <c r="C64" s="15">
        <f>SUM(C54:C63)</f>
        <v>432587</v>
      </c>
      <c r="D64" s="15">
        <f ca="1">SUM(D54:D63)</f>
        <v>1297765.0499999998</v>
      </c>
      <c r="E64" s="15">
        <f ca="1">SUM(E54:E63)</f>
        <v>0</v>
      </c>
      <c r="F64" s="15">
        <f t="shared" ca="1" si="14"/>
        <v>1297765.0499999998</v>
      </c>
      <c r="G64" s="22">
        <f t="shared" ca="1" si="15"/>
        <v>0</v>
      </c>
      <c r="H64" s="15">
        <f>SUM(H54:H63)</f>
        <v>0</v>
      </c>
      <c r="I64" s="15">
        <f>SUM(I54:I63)</f>
        <v>0</v>
      </c>
      <c r="J64" s="22">
        <f t="shared" si="16"/>
        <v>0</v>
      </c>
      <c r="K64" s="15">
        <f>SUM(K54:K63)</f>
        <v>0</v>
      </c>
      <c r="L64" s="15">
        <f>SUM(L54:L63)</f>
        <v>0</v>
      </c>
      <c r="M64" s="22">
        <f t="shared" si="17"/>
        <v>0</v>
      </c>
      <c r="N64" s="15">
        <f>SUM(N54:N63)</f>
        <v>432588.35</v>
      </c>
      <c r="O64" s="15">
        <f>SUM(O54:O63)</f>
        <v>0</v>
      </c>
      <c r="P64" s="22">
        <f t="shared" si="18"/>
        <v>0</v>
      </c>
      <c r="Q64" s="15">
        <f>SUM(Q54:Q63)</f>
        <v>432588.35</v>
      </c>
      <c r="R64" s="15">
        <f>SUM(R54:R63)</f>
        <v>0</v>
      </c>
      <c r="S64" s="22">
        <f t="shared" si="19"/>
        <v>0</v>
      </c>
      <c r="T64" s="15">
        <f>SUM(T54:T63)</f>
        <v>432588.35</v>
      </c>
      <c r="U64" s="15">
        <f>SUM(U54:U63)</f>
        <v>0</v>
      </c>
      <c r="V64" s="22">
        <f t="shared" si="20"/>
        <v>0</v>
      </c>
      <c r="W64" s="15">
        <f>SUM(W54:W63)</f>
        <v>0</v>
      </c>
      <c r="X64" s="15">
        <f>SUM(X54:X63)</f>
        <v>0</v>
      </c>
      <c r="Y64" s="22">
        <f t="shared" si="21"/>
        <v>0</v>
      </c>
      <c r="Z64" s="15">
        <f>SUM(Z54:Z63)</f>
        <v>0</v>
      </c>
      <c r="AA64" s="15">
        <f>SUM(AA54:AA63)</f>
        <v>0</v>
      </c>
      <c r="AB64" s="22">
        <f t="shared" si="22"/>
        <v>0</v>
      </c>
      <c r="AC64" s="15">
        <f>SUM(AC54:AC63)</f>
        <v>0</v>
      </c>
      <c r="AD64" s="15">
        <f>SUM(AD54:AD63)</f>
        <v>0</v>
      </c>
      <c r="AE64" s="22">
        <f t="shared" si="23"/>
        <v>0</v>
      </c>
      <c r="AF64" s="15">
        <f>SUM(AF54:AF63)</f>
        <v>0</v>
      </c>
      <c r="AG64" s="15">
        <f>SUM(AG54:AG63)</f>
        <v>0</v>
      </c>
      <c r="AH64" s="22">
        <f t="shared" si="24"/>
        <v>0</v>
      </c>
      <c r="AI64" s="15">
        <f>SUM(AI54:AI63)</f>
        <v>0</v>
      </c>
      <c r="AJ64" s="15">
        <f>SUM(AJ54:AJ63)</f>
        <v>0</v>
      </c>
      <c r="AK64" s="22">
        <f t="shared" si="25"/>
        <v>0</v>
      </c>
      <c r="AL64" s="15">
        <f>SUM(AL54:AL63)</f>
        <v>0</v>
      </c>
      <c r="AM64" s="15">
        <f>SUM(AM54:AM63)</f>
        <v>0</v>
      </c>
      <c r="AN64" s="22">
        <f t="shared" si="26"/>
        <v>0</v>
      </c>
      <c r="AO64" s="15">
        <f>SUM(AO54:AO63)</f>
        <v>0</v>
      </c>
      <c r="AP64" s="15">
        <f>SUM(AP54:AP63)</f>
        <v>0</v>
      </c>
      <c r="AQ64" s="22">
        <f t="shared" si="27"/>
        <v>0</v>
      </c>
    </row>
    <row r="65" spans="1:43" x14ac:dyDescent="0.45">
      <c r="A65" s="1" t="s">
        <v>455</v>
      </c>
      <c r="B65" s="40"/>
      <c r="C65" s="16">
        <f>C53+C64</f>
        <v>487123</v>
      </c>
      <c r="D65" s="16">
        <f ca="1">D53+D64</f>
        <v>1461370.8299999998</v>
      </c>
      <c r="E65" s="16">
        <f ca="1">E53+E64</f>
        <v>0</v>
      </c>
      <c r="F65" s="16">
        <f t="shared" ca="1" si="14"/>
        <v>1461370.8299999998</v>
      </c>
      <c r="G65" s="23">
        <f t="shared" ca="1" si="15"/>
        <v>0</v>
      </c>
      <c r="H65" s="15">
        <f>H53+H64</f>
        <v>0</v>
      </c>
      <c r="I65" s="15">
        <f>I53+I64</f>
        <v>0</v>
      </c>
      <c r="J65" s="22">
        <f t="shared" si="16"/>
        <v>0</v>
      </c>
      <c r="K65" s="15">
        <f>K53+K64</f>
        <v>0</v>
      </c>
      <c r="L65" s="15">
        <f>L53+L64</f>
        <v>0</v>
      </c>
      <c r="M65" s="22">
        <f t="shared" si="17"/>
        <v>0</v>
      </c>
      <c r="N65" s="15">
        <f>N53+N64</f>
        <v>487123.61</v>
      </c>
      <c r="O65" s="15">
        <f>O53+O64</f>
        <v>0</v>
      </c>
      <c r="P65" s="22">
        <f t="shared" si="18"/>
        <v>0</v>
      </c>
      <c r="Q65" s="15">
        <f>Q53+Q64</f>
        <v>487123.61</v>
      </c>
      <c r="R65" s="15">
        <f>R53+R64</f>
        <v>0</v>
      </c>
      <c r="S65" s="22">
        <f t="shared" si="19"/>
        <v>0</v>
      </c>
      <c r="T65" s="15">
        <f>T53+T64</f>
        <v>487123.61</v>
      </c>
      <c r="U65" s="15">
        <f>U53+U64</f>
        <v>0</v>
      </c>
      <c r="V65" s="22">
        <f t="shared" si="20"/>
        <v>0</v>
      </c>
      <c r="W65" s="15">
        <f>W53+W64</f>
        <v>0</v>
      </c>
      <c r="X65" s="15">
        <f>X53+X64</f>
        <v>0</v>
      </c>
      <c r="Y65" s="22">
        <f t="shared" si="21"/>
        <v>0</v>
      </c>
      <c r="Z65" s="15">
        <f>Z53+Z64</f>
        <v>0</v>
      </c>
      <c r="AA65" s="15">
        <f>AA53+AA64</f>
        <v>0</v>
      </c>
      <c r="AB65" s="22">
        <f t="shared" si="22"/>
        <v>0</v>
      </c>
      <c r="AC65" s="15">
        <f>AC53+AC64</f>
        <v>0</v>
      </c>
      <c r="AD65" s="15">
        <f>AD53+AD64</f>
        <v>0</v>
      </c>
      <c r="AE65" s="22">
        <f t="shared" si="23"/>
        <v>0</v>
      </c>
      <c r="AF65" s="15">
        <f>AF53+AF64</f>
        <v>0</v>
      </c>
      <c r="AG65" s="15">
        <f>AG53+AG64</f>
        <v>0</v>
      </c>
      <c r="AH65" s="22">
        <f t="shared" si="24"/>
        <v>0</v>
      </c>
      <c r="AI65" s="15">
        <f>AI53+AI64</f>
        <v>0</v>
      </c>
      <c r="AJ65" s="15">
        <f>AJ53+AJ64</f>
        <v>0</v>
      </c>
      <c r="AK65" s="22">
        <f t="shared" si="25"/>
        <v>0</v>
      </c>
      <c r="AL65" s="15">
        <f>AL53+AL64</f>
        <v>0</v>
      </c>
      <c r="AM65" s="15">
        <f>AM53+AM64</f>
        <v>0</v>
      </c>
      <c r="AN65" s="22">
        <f t="shared" si="26"/>
        <v>0</v>
      </c>
      <c r="AO65" s="15">
        <f>AO53+AO64</f>
        <v>0</v>
      </c>
      <c r="AP65" s="15">
        <f>AP53+AP64</f>
        <v>0</v>
      </c>
      <c r="AQ65" s="22">
        <f t="shared" si="27"/>
        <v>0</v>
      </c>
    </row>
    <row r="66" spans="1:43" x14ac:dyDescent="0.45">
      <c r="C66" s="15"/>
      <c r="D66" s="15"/>
      <c r="E66" s="15"/>
      <c r="F66" s="15"/>
      <c r="G66" s="22"/>
      <c r="H66" s="15"/>
      <c r="I66" s="15"/>
      <c r="J66" s="22"/>
      <c r="K66" s="15"/>
      <c r="L66" s="15"/>
      <c r="M66" s="22"/>
      <c r="N66" s="15"/>
      <c r="O66" s="15"/>
      <c r="P66" s="22"/>
      <c r="Q66" s="15"/>
      <c r="R66" s="15"/>
      <c r="S66" s="22"/>
      <c r="T66" s="15"/>
      <c r="U66" s="15"/>
      <c r="V66" s="22"/>
      <c r="W66" s="15"/>
      <c r="X66" s="15"/>
      <c r="Y66" s="22"/>
      <c r="Z66" s="15"/>
      <c r="AA66" s="15"/>
      <c r="AB66" s="22"/>
      <c r="AC66" s="15"/>
      <c r="AD66" s="15"/>
      <c r="AE66" s="22"/>
      <c r="AF66" s="15"/>
      <c r="AG66" s="15"/>
      <c r="AH66" s="22"/>
      <c r="AI66" s="15"/>
      <c r="AJ66" s="15"/>
      <c r="AK66" s="22"/>
      <c r="AL66" s="15"/>
      <c r="AM66" s="15"/>
      <c r="AN66" s="22"/>
      <c r="AO66" s="15"/>
      <c r="AP66" s="15"/>
      <c r="AQ66" s="22"/>
    </row>
    <row r="67" spans="1:43" x14ac:dyDescent="0.45">
      <c r="A67" s="12" t="s">
        <v>456</v>
      </c>
      <c r="B67" s="46"/>
      <c r="C67" s="18">
        <f>C41-C65</f>
        <v>707626</v>
      </c>
      <c r="D67" s="18">
        <f ca="1">D41-D65</f>
        <v>2122870.8900000006</v>
      </c>
      <c r="E67" s="18">
        <f ca="1">E41-E65</f>
        <v>0</v>
      </c>
      <c r="F67" s="18">
        <f ca="1">D67-E67</f>
        <v>2122870.8900000006</v>
      </c>
      <c r="G67" s="25">
        <f ca="1">IF(E67=0,0,D67/E67-1)</f>
        <v>0</v>
      </c>
      <c r="H67" s="28">
        <f>H41-H65</f>
        <v>0</v>
      </c>
      <c r="I67" s="28">
        <f>I41-I65</f>
        <v>0</v>
      </c>
      <c r="J67" s="31">
        <f>IF(I67=0,0,H67/I67-1)</f>
        <v>0</v>
      </c>
      <c r="K67" s="28">
        <f>K41-K65</f>
        <v>0</v>
      </c>
      <c r="L67" s="28">
        <f>L41-L65</f>
        <v>0</v>
      </c>
      <c r="M67" s="31">
        <f>IF(L67=0,0,K67/L67-1)</f>
        <v>0</v>
      </c>
      <c r="N67" s="28">
        <f>N41-N65</f>
        <v>707623.63000000024</v>
      </c>
      <c r="O67" s="28">
        <f>O41-O65</f>
        <v>0</v>
      </c>
      <c r="P67" s="31">
        <f>IF(O67=0,0,N67/O67-1)</f>
        <v>0</v>
      </c>
      <c r="Q67" s="28">
        <f>Q41-Q65</f>
        <v>707623.63000000024</v>
      </c>
      <c r="R67" s="28">
        <f>R41-R65</f>
        <v>0</v>
      </c>
      <c r="S67" s="31">
        <f>IF(R67=0,0,Q67/R67-1)</f>
        <v>0</v>
      </c>
      <c r="T67" s="28">
        <f>T41-T65</f>
        <v>707623.63000000024</v>
      </c>
      <c r="U67" s="28">
        <f>U41-U65</f>
        <v>0</v>
      </c>
      <c r="V67" s="31">
        <f>IF(U67=0,0,T67/U67-1)</f>
        <v>0</v>
      </c>
      <c r="W67" s="28">
        <f>W41-W65</f>
        <v>0</v>
      </c>
      <c r="X67" s="28">
        <f>X41-X65</f>
        <v>0</v>
      </c>
      <c r="Y67" s="31">
        <f>IF(X67=0,0,W67/X67-1)</f>
        <v>0</v>
      </c>
      <c r="Z67" s="28">
        <f>Z41-Z65</f>
        <v>0</v>
      </c>
      <c r="AA67" s="28">
        <f>AA41-AA65</f>
        <v>0</v>
      </c>
      <c r="AB67" s="31">
        <f>IF(AA67=0,0,Z67/AA67-1)</f>
        <v>0</v>
      </c>
      <c r="AC67" s="28">
        <f>AC41-AC65</f>
        <v>0</v>
      </c>
      <c r="AD67" s="28">
        <f>AD41-AD65</f>
        <v>0</v>
      </c>
      <c r="AE67" s="31">
        <f>IF(AD67=0,0,AC67/AD67-1)</f>
        <v>0</v>
      </c>
      <c r="AF67" s="28">
        <f>AF41-AF65</f>
        <v>0</v>
      </c>
      <c r="AG67" s="28">
        <f>AG41-AG65</f>
        <v>0</v>
      </c>
      <c r="AH67" s="31">
        <f>IF(AG67=0,0,AF67/AG67-1)</f>
        <v>0</v>
      </c>
      <c r="AI67" s="28">
        <f>AI41-AI65</f>
        <v>0</v>
      </c>
      <c r="AJ67" s="28">
        <f>AJ41-AJ65</f>
        <v>0</v>
      </c>
      <c r="AK67" s="31">
        <f>IF(AJ67=0,0,AI67/AJ67-1)</f>
        <v>0</v>
      </c>
      <c r="AL67" s="28">
        <f>AL41-AL65</f>
        <v>0</v>
      </c>
      <c r="AM67" s="28">
        <f>AM41-AM65</f>
        <v>0</v>
      </c>
      <c r="AN67" s="31">
        <f>IF(AM67=0,0,AL67/AM67-1)</f>
        <v>0</v>
      </c>
      <c r="AO67" s="28">
        <f>AO41-AO65</f>
        <v>0</v>
      </c>
      <c r="AP67" s="28">
        <f>AP41-AP65</f>
        <v>0</v>
      </c>
      <c r="AQ67" s="31">
        <f>IF(AP67=0,0,AO67/AP67-1)</f>
        <v>0</v>
      </c>
    </row>
    <row r="68" spans="1:43" x14ac:dyDescent="0.45">
      <c r="C68" s="15"/>
      <c r="D68" s="15"/>
      <c r="E68" s="15"/>
      <c r="F68" s="15"/>
      <c r="G68" s="22"/>
      <c r="H68" s="15"/>
      <c r="I68" s="15"/>
      <c r="J68" s="22"/>
      <c r="K68" s="15"/>
      <c r="L68" s="15"/>
      <c r="M68" s="22"/>
      <c r="N68" s="15"/>
      <c r="O68" s="15"/>
      <c r="P68" s="22"/>
      <c r="Q68" s="15"/>
      <c r="R68" s="15"/>
      <c r="S68" s="22"/>
      <c r="T68" s="15"/>
      <c r="U68" s="15"/>
      <c r="V68" s="22"/>
      <c r="W68" s="15"/>
      <c r="X68" s="15"/>
      <c r="Y68" s="22"/>
      <c r="Z68" s="15"/>
      <c r="AA68" s="15"/>
      <c r="AB68" s="22"/>
      <c r="AC68" s="15"/>
      <c r="AD68" s="15"/>
      <c r="AE68" s="22"/>
      <c r="AF68" s="15"/>
      <c r="AG68" s="15"/>
      <c r="AH68" s="22"/>
      <c r="AI68" s="15"/>
      <c r="AJ68" s="15"/>
      <c r="AK68" s="22"/>
      <c r="AL68" s="15"/>
      <c r="AM68" s="15"/>
      <c r="AN68" s="22"/>
      <c r="AO68" s="15"/>
      <c r="AP68" s="15"/>
      <c r="AQ68" s="22"/>
    </row>
    <row r="69" spans="1:43" x14ac:dyDescent="0.45">
      <c r="A69" s="11" t="s">
        <v>457</v>
      </c>
      <c r="B69" s="45"/>
      <c r="C69" s="17"/>
      <c r="D69" s="17"/>
      <c r="E69" s="17"/>
      <c r="F69" s="17"/>
      <c r="G69" s="24"/>
      <c r="H69" s="17"/>
      <c r="I69" s="17"/>
      <c r="J69" s="24"/>
      <c r="K69" s="17"/>
      <c r="L69" s="17"/>
      <c r="M69" s="24"/>
      <c r="N69" s="17"/>
      <c r="O69" s="17"/>
      <c r="P69" s="24"/>
      <c r="Q69" s="17"/>
      <c r="R69" s="17"/>
      <c r="S69" s="24"/>
      <c r="T69" s="17"/>
      <c r="U69" s="17"/>
      <c r="V69" s="24"/>
      <c r="W69" s="17"/>
      <c r="X69" s="17"/>
      <c r="Y69" s="24"/>
      <c r="Z69" s="17"/>
      <c r="AA69" s="17"/>
      <c r="AB69" s="24"/>
      <c r="AC69" s="17"/>
      <c r="AD69" s="17"/>
      <c r="AE69" s="24"/>
      <c r="AF69" s="17"/>
      <c r="AG69" s="17"/>
      <c r="AH69" s="24"/>
      <c r="AI69" s="17"/>
      <c r="AJ69" s="17"/>
      <c r="AK69" s="24"/>
      <c r="AL69" s="17"/>
      <c r="AM69" s="17"/>
      <c r="AN69" s="24"/>
      <c r="AO69" s="17"/>
      <c r="AP69" s="17"/>
      <c r="AQ69" s="24"/>
    </row>
    <row r="70" spans="1:43" outlineLevel="1" x14ac:dyDescent="0.45">
      <c r="A70" s="10" t="s">
        <v>460</v>
      </c>
      <c r="B70" s="39">
        <v>6901201</v>
      </c>
      <c r="C70" s="15">
        <v>4632</v>
      </c>
      <c r="D70" s="15">
        <f ca="1">SUMIFS(Monatsexporte[Saldo],Monatsexporte[Jahr],$B$4,Monatsexporte[Monat],"&lt;="&amp;$B$8,Monatsexporte[Konto],B70)</f>
        <v>13896</v>
      </c>
      <c r="E70" s="15">
        <f ca="1">SUMIFS(Monatsexporte[Saldo],Monatsexporte[Jahr],$B$5,Monatsexporte[Monat],"&lt;="&amp;$B$8,Monatsexporte[Konto],B70)</f>
        <v>0</v>
      </c>
      <c r="F70" s="15">
        <f t="shared" ref="F70:F101" ca="1" si="28">D70-E70</f>
        <v>13896</v>
      </c>
      <c r="G70" s="22">
        <f t="shared" ref="G70:G101" ca="1" si="29">IF(E70=0,0,D70/E70-1)</f>
        <v>0</v>
      </c>
      <c r="H70" s="15">
        <f>SUMIFS(Monatsexporte[Saldo],Monatsexporte[Jahr],$B$4,Monatsexporte[Monat],1,Monatsexporte[Konto],B70)</f>
        <v>0</v>
      </c>
      <c r="I70" s="15">
        <f>SUMIFS(Monatsexporte[Saldo],Monatsexporte[Jahr],$B$5,Monatsexporte[Monat],1,Monatsexporte[Konto],B70)</f>
        <v>0</v>
      </c>
      <c r="J70" s="22">
        <f t="shared" ref="J70:J101" si="30">IF(I70=0,0,H70/I70-1)</f>
        <v>0</v>
      </c>
      <c r="K70" s="15">
        <f>SUMIFS(Monatsexporte[Saldo],Monatsexporte[Jahr],$B$4,Monatsexporte[Monat],2,Monatsexporte[Konto],B70)</f>
        <v>0</v>
      </c>
      <c r="L70" s="15">
        <f>SUMIFS(Monatsexporte[Saldo],Monatsexporte[Jahr],$B$5,Monatsexporte[Monat],2,Monatsexporte[Konto],B70)</f>
        <v>0</v>
      </c>
      <c r="M70" s="22">
        <f t="shared" ref="M70:M101" si="31">IF(L70=0,0,K70/L70-1)</f>
        <v>0</v>
      </c>
      <c r="N70" s="15">
        <f>SUMIFS(Monatsexporte[Saldo],Monatsexporte[Jahr],$B$4,Monatsexporte[Monat],3,Monatsexporte[Konto],B70)</f>
        <v>4632</v>
      </c>
      <c r="O70" s="15">
        <f>SUMIFS(Monatsexporte[Saldo],Monatsexporte[Jahr],$B$5,Monatsexporte[Monat],3,Monatsexporte[Konto],B70)</f>
        <v>0</v>
      </c>
      <c r="P70" s="22">
        <f t="shared" ref="P70:P101" si="32">IF(O70=0,0,N70/O70-1)</f>
        <v>0</v>
      </c>
      <c r="Q70" s="15">
        <f>SUMIFS(Monatsexporte[Saldo],Monatsexporte[Jahr],$B$4,Monatsexporte[Monat],4,Monatsexporte[Konto],B70)</f>
        <v>4632</v>
      </c>
      <c r="R70" s="15">
        <f>SUMIFS(Monatsexporte[Saldo],Monatsexporte[Jahr],$B$5,Monatsexporte[Monat],4,Monatsexporte[Konto],B70)</f>
        <v>0</v>
      </c>
      <c r="S70" s="22">
        <f t="shared" ref="S70:S101" si="33">IF(R70=0,0,Q70/R70-1)</f>
        <v>0</v>
      </c>
      <c r="T70" s="15">
        <f>SUMIFS(Monatsexporte[Saldo],Monatsexporte[Jahr],$B$4,Monatsexporte[Monat],5,Monatsexporte[Konto],B70)</f>
        <v>4632</v>
      </c>
      <c r="U70" s="15">
        <f>SUMIFS(Monatsexporte[Saldo],Monatsexporte[Jahr],$B$5,Monatsexporte[Monat],5,Monatsexporte[Konto],B70)</f>
        <v>0</v>
      </c>
      <c r="V70" s="22">
        <f t="shared" ref="V70:V101" si="34">IF(U70=0,0,T70/U70-1)</f>
        <v>0</v>
      </c>
      <c r="W70" s="15">
        <f>SUMIFS(Monatsexporte[Saldo],Monatsexporte[Jahr],$B$4,Monatsexporte[Monat],6,Monatsexporte[Konto],B70)</f>
        <v>0</v>
      </c>
      <c r="X70" s="15">
        <f>SUMIFS(Monatsexporte[Saldo],Monatsexporte[Jahr],$B$5,Monatsexporte[Monat],6,Monatsexporte[Konto],B70)</f>
        <v>0</v>
      </c>
      <c r="Y70" s="22">
        <f t="shared" ref="Y70:Y101" si="35">IF(X70=0,0,W70/X70-1)</f>
        <v>0</v>
      </c>
      <c r="Z70" s="15">
        <f>SUMIFS(Monatsexporte[Saldo],Monatsexporte[Jahr],$B$4,Monatsexporte[Monat],7,Monatsexporte[Konto],B70)</f>
        <v>0</v>
      </c>
      <c r="AA70" s="15">
        <f>SUMIFS(Monatsexporte[Saldo],Monatsexporte[Jahr],$B$5,Monatsexporte[Monat],7,Monatsexporte[Konto],B70)</f>
        <v>0</v>
      </c>
      <c r="AB70" s="22">
        <f t="shared" ref="AB70:AB101" si="36">IF(AA70=0,0,Z70/AA70-1)</f>
        <v>0</v>
      </c>
      <c r="AC70" s="15">
        <f>SUMIFS(Monatsexporte[Saldo],Monatsexporte[Jahr],$B$4,Monatsexporte[Monat],8,Monatsexporte[Konto],B70)</f>
        <v>0</v>
      </c>
      <c r="AD70" s="15">
        <f>SUMIFS(Monatsexporte[Saldo],Monatsexporte[Jahr],$B$5,Monatsexporte[Monat],8,Monatsexporte[Konto],B70)</f>
        <v>0</v>
      </c>
      <c r="AE70" s="22">
        <f t="shared" ref="AE70:AE101" si="37">IF(AD70=0,0,AC70/AD70-1)</f>
        <v>0</v>
      </c>
      <c r="AF70" s="15">
        <f>SUMIFS(Monatsexporte[Saldo],Monatsexporte[Jahr],$B$4,Monatsexporte[Monat],9,Monatsexporte[Konto],B70)</f>
        <v>0</v>
      </c>
      <c r="AG70" s="15">
        <f>SUMIFS(Monatsexporte[Saldo],Monatsexporte[Jahr],$B$5,Monatsexporte[Monat],9,Monatsexporte[Konto],B70)</f>
        <v>0</v>
      </c>
      <c r="AH70" s="22">
        <f t="shared" ref="AH70:AH101" si="38">IF(AG70=0,0,AF70/AG70-1)</f>
        <v>0</v>
      </c>
      <c r="AI70" s="15">
        <f>SUMIFS(Monatsexporte[Saldo],Monatsexporte[Jahr],$B$4,Monatsexporte[Monat],10,Monatsexporte[Konto],B70)</f>
        <v>0</v>
      </c>
      <c r="AJ70" s="15">
        <f>SUMIFS(Monatsexporte[Saldo],Monatsexporte[Jahr],$B$5,Monatsexporte[Monat],10,Monatsexporte[Konto],B70)</f>
        <v>0</v>
      </c>
      <c r="AK70" s="22">
        <f t="shared" ref="AK70:AK101" si="39">IF(AJ70=0,0,AI70/AJ70-1)</f>
        <v>0</v>
      </c>
      <c r="AL70" s="15">
        <f>SUMIFS(Monatsexporte[Saldo],Monatsexporte[Jahr],$B$4,Monatsexporte[Monat],11,Monatsexporte[Konto],B70)</f>
        <v>0</v>
      </c>
      <c r="AM70" s="15">
        <f>SUMIFS(Monatsexporte[Saldo],Monatsexporte[Jahr],$B$5,Monatsexporte[Monat],11,Monatsexporte[Konto],B70)</f>
        <v>0</v>
      </c>
      <c r="AN70" s="22">
        <f t="shared" ref="AN70:AN101" si="40">IF(AM70=0,0,AL70/AM70-1)</f>
        <v>0</v>
      </c>
      <c r="AO70" s="15">
        <f>SUMIFS(Monatsexporte[Saldo],Monatsexporte[Jahr],$B$4,Monatsexporte[Monat],12,Monatsexporte[Konto],B70)</f>
        <v>0</v>
      </c>
      <c r="AP70" s="15">
        <f>SUMIFS(Monatsexporte[Saldo],Monatsexporte[Jahr],$B$5,Monatsexporte[Monat],12,Monatsexporte[Konto],B70)</f>
        <v>0</v>
      </c>
      <c r="AQ70" s="22">
        <f t="shared" ref="AQ70:AQ101" si="41">IF(AP70=0,0,AO70/AP70-1)</f>
        <v>0</v>
      </c>
    </row>
    <row r="71" spans="1:43" outlineLevel="1" x14ac:dyDescent="0.45">
      <c r="A71" s="10" t="s">
        <v>461</v>
      </c>
      <c r="B71" s="39">
        <v>6901230</v>
      </c>
      <c r="C71" s="15">
        <v>27451</v>
      </c>
      <c r="D71" s="15">
        <f ca="1">SUMIFS(Monatsexporte[Saldo],Monatsexporte[Jahr],$B$4,Monatsexporte[Monat],"&lt;="&amp;$B$8,Monatsexporte[Konto],B71)</f>
        <v>82353.509999999995</v>
      </c>
      <c r="E71" s="15">
        <f ca="1">SUMIFS(Monatsexporte[Saldo],Monatsexporte[Jahr],$B$5,Monatsexporte[Monat],"&lt;="&amp;$B$8,Monatsexporte[Konto],B71)</f>
        <v>0</v>
      </c>
      <c r="F71" s="15">
        <f t="shared" ca="1" si="28"/>
        <v>82353.509999999995</v>
      </c>
      <c r="G71" s="22">
        <f t="shared" ca="1" si="29"/>
        <v>0</v>
      </c>
      <c r="H71" s="15">
        <f>SUMIFS(Monatsexporte[Saldo],Monatsexporte[Jahr],$B$4,Monatsexporte[Monat],1,Monatsexporte[Konto],B71)</f>
        <v>0</v>
      </c>
      <c r="I71" s="15">
        <f>SUMIFS(Monatsexporte[Saldo],Monatsexporte[Jahr],$B$5,Monatsexporte[Monat],1,Monatsexporte[Konto],B71)</f>
        <v>0</v>
      </c>
      <c r="J71" s="22">
        <f t="shared" si="30"/>
        <v>0</v>
      </c>
      <c r="K71" s="15">
        <f>SUMIFS(Monatsexporte[Saldo],Monatsexporte[Jahr],$B$4,Monatsexporte[Monat],2,Monatsexporte[Konto],B71)</f>
        <v>0</v>
      </c>
      <c r="L71" s="15">
        <f>SUMIFS(Monatsexporte[Saldo],Monatsexporte[Jahr],$B$5,Monatsexporte[Monat],2,Monatsexporte[Konto],B71)</f>
        <v>0</v>
      </c>
      <c r="M71" s="22">
        <f t="shared" si="31"/>
        <v>0</v>
      </c>
      <c r="N71" s="15">
        <f>SUMIFS(Monatsexporte[Saldo],Monatsexporte[Jahr],$B$4,Monatsexporte[Monat],3,Monatsexporte[Konto],B71)</f>
        <v>27451.17</v>
      </c>
      <c r="O71" s="15">
        <f>SUMIFS(Monatsexporte[Saldo],Monatsexporte[Jahr],$B$5,Monatsexporte[Monat],3,Monatsexporte[Konto],B71)</f>
        <v>0</v>
      </c>
      <c r="P71" s="22">
        <f t="shared" si="32"/>
        <v>0</v>
      </c>
      <c r="Q71" s="15">
        <f>SUMIFS(Monatsexporte[Saldo],Monatsexporte[Jahr],$B$4,Monatsexporte[Monat],4,Monatsexporte[Konto],B71)</f>
        <v>27451.17</v>
      </c>
      <c r="R71" s="15">
        <f>SUMIFS(Monatsexporte[Saldo],Monatsexporte[Jahr],$B$5,Monatsexporte[Monat],4,Monatsexporte[Konto],B71)</f>
        <v>0</v>
      </c>
      <c r="S71" s="22">
        <f t="shared" si="33"/>
        <v>0</v>
      </c>
      <c r="T71" s="15">
        <f>SUMIFS(Monatsexporte[Saldo],Monatsexporte[Jahr],$B$4,Monatsexporte[Monat],5,Monatsexporte[Konto],B71)</f>
        <v>27451.17</v>
      </c>
      <c r="U71" s="15">
        <f>SUMIFS(Monatsexporte[Saldo],Monatsexporte[Jahr],$B$5,Monatsexporte[Monat],5,Monatsexporte[Konto],B71)</f>
        <v>0</v>
      </c>
      <c r="V71" s="22">
        <f t="shared" si="34"/>
        <v>0</v>
      </c>
      <c r="W71" s="15">
        <f>SUMIFS(Monatsexporte[Saldo],Monatsexporte[Jahr],$B$4,Monatsexporte[Monat],6,Monatsexporte[Konto],B71)</f>
        <v>0</v>
      </c>
      <c r="X71" s="15">
        <f>SUMIFS(Monatsexporte[Saldo],Monatsexporte[Jahr],$B$5,Monatsexporte[Monat],6,Monatsexporte[Konto],B71)</f>
        <v>0</v>
      </c>
      <c r="Y71" s="22">
        <f t="shared" si="35"/>
        <v>0</v>
      </c>
      <c r="Z71" s="15">
        <f>SUMIFS(Monatsexporte[Saldo],Monatsexporte[Jahr],$B$4,Monatsexporte[Monat],7,Monatsexporte[Konto],B71)</f>
        <v>0</v>
      </c>
      <c r="AA71" s="15">
        <f>SUMIFS(Monatsexporte[Saldo],Monatsexporte[Jahr],$B$5,Monatsexporte[Monat],7,Monatsexporte[Konto],B71)</f>
        <v>0</v>
      </c>
      <c r="AB71" s="22">
        <f t="shared" si="36"/>
        <v>0</v>
      </c>
      <c r="AC71" s="15">
        <f>SUMIFS(Monatsexporte[Saldo],Monatsexporte[Jahr],$B$4,Monatsexporte[Monat],8,Monatsexporte[Konto],B71)</f>
        <v>0</v>
      </c>
      <c r="AD71" s="15">
        <f>SUMIFS(Monatsexporte[Saldo],Monatsexporte[Jahr],$B$5,Monatsexporte[Monat],8,Monatsexporte[Konto],B71)</f>
        <v>0</v>
      </c>
      <c r="AE71" s="22">
        <f t="shared" si="37"/>
        <v>0</v>
      </c>
      <c r="AF71" s="15">
        <f>SUMIFS(Monatsexporte[Saldo],Monatsexporte[Jahr],$B$4,Monatsexporte[Monat],9,Monatsexporte[Konto],B71)</f>
        <v>0</v>
      </c>
      <c r="AG71" s="15">
        <f>SUMIFS(Monatsexporte[Saldo],Monatsexporte[Jahr],$B$5,Monatsexporte[Monat],9,Monatsexporte[Konto],B71)</f>
        <v>0</v>
      </c>
      <c r="AH71" s="22">
        <f t="shared" si="38"/>
        <v>0</v>
      </c>
      <c r="AI71" s="15">
        <f>SUMIFS(Monatsexporte[Saldo],Monatsexporte[Jahr],$B$4,Monatsexporte[Monat],10,Monatsexporte[Konto],B71)</f>
        <v>0</v>
      </c>
      <c r="AJ71" s="15">
        <f>SUMIFS(Monatsexporte[Saldo],Monatsexporte[Jahr],$B$5,Monatsexporte[Monat],10,Monatsexporte[Konto],B71)</f>
        <v>0</v>
      </c>
      <c r="AK71" s="22">
        <f t="shared" si="39"/>
        <v>0</v>
      </c>
      <c r="AL71" s="15">
        <f>SUMIFS(Monatsexporte[Saldo],Monatsexporte[Jahr],$B$4,Monatsexporte[Monat],11,Monatsexporte[Konto],B71)</f>
        <v>0</v>
      </c>
      <c r="AM71" s="15">
        <f>SUMIFS(Monatsexporte[Saldo],Monatsexporte[Jahr],$B$5,Monatsexporte[Monat],11,Monatsexporte[Konto],B71)</f>
        <v>0</v>
      </c>
      <c r="AN71" s="22">
        <f t="shared" si="40"/>
        <v>0</v>
      </c>
      <c r="AO71" s="15">
        <f>SUMIFS(Monatsexporte[Saldo],Monatsexporte[Jahr],$B$4,Monatsexporte[Monat],12,Monatsexporte[Konto],B71)</f>
        <v>0</v>
      </c>
      <c r="AP71" s="15">
        <f>SUMIFS(Monatsexporte[Saldo],Monatsexporte[Jahr],$B$5,Monatsexporte[Monat],12,Monatsexporte[Konto],B71)</f>
        <v>0</v>
      </c>
      <c r="AQ71" s="22">
        <f t="shared" si="41"/>
        <v>0</v>
      </c>
    </row>
    <row r="72" spans="1:43" outlineLevel="1" x14ac:dyDescent="0.45">
      <c r="A72" s="10" t="s">
        <v>462</v>
      </c>
      <c r="B72" s="39">
        <v>690181515</v>
      </c>
      <c r="C72" s="15">
        <v>0</v>
      </c>
      <c r="D72" s="15">
        <f ca="1">SUMIFS(Monatsexporte[Saldo],Monatsexporte[Jahr],$B$4,Monatsexporte[Monat],"&lt;="&amp;$B$8,Monatsexporte[Konto],B72)</f>
        <v>0</v>
      </c>
      <c r="E72" s="15">
        <f ca="1">SUMIFS(Monatsexporte[Saldo],Monatsexporte[Jahr],$B$5,Monatsexporte[Monat],"&lt;="&amp;$B$8,Monatsexporte[Konto],B72)</f>
        <v>0</v>
      </c>
      <c r="F72" s="15">
        <f t="shared" ca="1" si="28"/>
        <v>0</v>
      </c>
      <c r="G72" s="22">
        <f t="shared" ca="1" si="29"/>
        <v>0</v>
      </c>
      <c r="H72" s="15">
        <f>SUMIFS(Monatsexporte[Saldo],Monatsexporte[Jahr],$B$4,Monatsexporte[Monat],1,Monatsexporte[Konto],B72)</f>
        <v>0</v>
      </c>
      <c r="I72" s="15">
        <f>SUMIFS(Monatsexporte[Saldo],Monatsexporte[Jahr],$B$5,Monatsexporte[Monat],1,Monatsexporte[Konto],B72)</f>
        <v>0</v>
      </c>
      <c r="J72" s="22">
        <f t="shared" si="30"/>
        <v>0</v>
      </c>
      <c r="K72" s="15">
        <f>SUMIFS(Monatsexporte[Saldo],Monatsexporte[Jahr],$B$4,Monatsexporte[Monat],2,Monatsexporte[Konto],B72)</f>
        <v>0</v>
      </c>
      <c r="L72" s="15">
        <f>SUMIFS(Monatsexporte[Saldo],Monatsexporte[Jahr],$B$5,Monatsexporte[Monat],2,Monatsexporte[Konto],B72)</f>
        <v>0</v>
      </c>
      <c r="M72" s="22">
        <f t="shared" si="31"/>
        <v>0</v>
      </c>
      <c r="N72" s="15">
        <f>SUMIFS(Monatsexporte[Saldo],Monatsexporte[Jahr],$B$4,Monatsexporte[Monat],3,Monatsexporte[Konto],B72)</f>
        <v>0</v>
      </c>
      <c r="O72" s="15">
        <f>SUMIFS(Monatsexporte[Saldo],Monatsexporte[Jahr],$B$5,Monatsexporte[Monat],3,Monatsexporte[Konto],B72)</f>
        <v>0</v>
      </c>
      <c r="P72" s="22">
        <f t="shared" si="32"/>
        <v>0</v>
      </c>
      <c r="Q72" s="15">
        <f>SUMIFS(Monatsexporte[Saldo],Monatsexporte[Jahr],$B$4,Monatsexporte[Monat],4,Monatsexporte[Konto],B72)</f>
        <v>0</v>
      </c>
      <c r="R72" s="15">
        <f>SUMIFS(Monatsexporte[Saldo],Monatsexporte[Jahr],$B$5,Monatsexporte[Monat],4,Monatsexporte[Konto],B72)</f>
        <v>0</v>
      </c>
      <c r="S72" s="22">
        <f t="shared" si="33"/>
        <v>0</v>
      </c>
      <c r="T72" s="15">
        <f>SUMIFS(Monatsexporte[Saldo],Monatsexporte[Jahr],$B$4,Monatsexporte[Monat],5,Monatsexporte[Konto],B72)</f>
        <v>0</v>
      </c>
      <c r="U72" s="15">
        <f>SUMIFS(Monatsexporte[Saldo],Monatsexporte[Jahr],$B$5,Monatsexporte[Monat],5,Monatsexporte[Konto],B72)</f>
        <v>0</v>
      </c>
      <c r="V72" s="22">
        <f t="shared" si="34"/>
        <v>0</v>
      </c>
      <c r="W72" s="15">
        <f>SUMIFS(Monatsexporte[Saldo],Monatsexporte[Jahr],$B$4,Monatsexporte[Monat],6,Monatsexporte[Konto],B72)</f>
        <v>0</v>
      </c>
      <c r="X72" s="15">
        <f>SUMIFS(Monatsexporte[Saldo],Monatsexporte[Jahr],$B$5,Monatsexporte[Monat],6,Monatsexporte[Konto],B72)</f>
        <v>0</v>
      </c>
      <c r="Y72" s="22">
        <f t="shared" si="35"/>
        <v>0</v>
      </c>
      <c r="Z72" s="15">
        <f>SUMIFS(Monatsexporte[Saldo],Monatsexporte[Jahr],$B$4,Monatsexporte[Monat],7,Monatsexporte[Konto],B72)</f>
        <v>0</v>
      </c>
      <c r="AA72" s="15">
        <f>SUMIFS(Monatsexporte[Saldo],Monatsexporte[Jahr],$B$5,Monatsexporte[Monat],7,Monatsexporte[Konto],B72)</f>
        <v>0</v>
      </c>
      <c r="AB72" s="22">
        <f t="shared" si="36"/>
        <v>0</v>
      </c>
      <c r="AC72" s="15">
        <f>SUMIFS(Monatsexporte[Saldo],Monatsexporte[Jahr],$B$4,Monatsexporte[Monat],8,Monatsexporte[Konto],B72)</f>
        <v>0</v>
      </c>
      <c r="AD72" s="15">
        <f>SUMIFS(Monatsexporte[Saldo],Monatsexporte[Jahr],$B$5,Monatsexporte[Monat],8,Monatsexporte[Konto],B72)</f>
        <v>0</v>
      </c>
      <c r="AE72" s="22">
        <f t="shared" si="37"/>
        <v>0</v>
      </c>
      <c r="AF72" s="15">
        <f>SUMIFS(Monatsexporte[Saldo],Monatsexporte[Jahr],$B$4,Monatsexporte[Monat],9,Monatsexporte[Konto],B72)</f>
        <v>0</v>
      </c>
      <c r="AG72" s="15">
        <f>SUMIFS(Monatsexporte[Saldo],Monatsexporte[Jahr],$B$5,Monatsexporte[Monat],9,Monatsexporte[Konto],B72)</f>
        <v>0</v>
      </c>
      <c r="AH72" s="22">
        <f t="shared" si="38"/>
        <v>0</v>
      </c>
      <c r="AI72" s="15">
        <f>SUMIFS(Monatsexporte[Saldo],Monatsexporte[Jahr],$B$4,Monatsexporte[Monat],10,Monatsexporte[Konto],B72)</f>
        <v>0</v>
      </c>
      <c r="AJ72" s="15">
        <f>SUMIFS(Monatsexporte[Saldo],Monatsexporte[Jahr],$B$5,Monatsexporte[Monat],10,Monatsexporte[Konto],B72)</f>
        <v>0</v>
      </c>
      <c r="AK72" s="22">
        <f t="shared" si="39"/>
        <v>0</v>
      </c>
      <c r="AL72" s="15">
        <f>SUMIFS(Monatsexporte[Saldo],Monatsexporte[Jahr],$B$4,Monatsexporte[Monat],11,Monatsexporte[Konto],B72)</f>
        <v>0</v>
      </c>
      <c r="AM72" s="15">
        <f>SUMIFS(Monatsexporte[Saldo],Monatsexporte[Jahr],$B$5,Monatsexporte[Monat],11,Monatsexporte[Konto],B72)</f>
        <v>0</v>
      </c>
      <c r="AN72" s="22">
        <f t="shared" si="40"/>
        <v>0</v>
      </c>
      <c r="AO72" s="15">
        <f>SUMIFS(Monatsexporte[Saldo],Monatsexporte[Jahr],$B$4,Monatsexporte[Monat],12,Monatsexporte[Konto],B72)</f>
        <v>0</v>
      </c>
      <c r="AP72" s="15">
        <f>SUMIFS(Monatsexporte[Saldo],Monatsexporte[Jahr],$B$5,Monatsexporte[Monat],12,Monatsexporte[Konto],B72)</f>
        <v>0</v>
      </c>
      <c r="AQ72" s="22">
        <f t="shared" si="41"/>
        <v>0</v>
      </c>
    </row>
    <row r="73" spans="1:43" outlineLevel="1" x14ac:dyDescent="0.45">
      <c r="A73" s="10" t="s">
        <v>463</v>
      </c>
      <c r="B73" s="39">
        <v>690181520</v>
      </c>
      <c r="C73" s="15">
        <v>12870</v>
      </c>
      <c r="D73" s="15">
        <f ca="1">SUMIFS(Monatsexporte[Saldo],Monatsexporte[Jahr],$B$4,Monatsexporte[Monat],"&lt;="&amp;$B$8,Monatsexporte[Konto],B73)</f>
        <v>38608.92</v>
      </c>
      <c r="E73" s="15">
        <f ca="1">SUMIFS(Monatsexporte[Saldo],Monatsexporte[Jahr],$B$5,Monatsexporte[Monat],"&lt;="&amp;$B$8,Monatsexporte[Konto],B73)</f>
        <v>0</v>
      </c>
      <c r="F73" s="15">
        <f t="shared" ca="1" si="28"/>
        <v>38608.92</v>
      </c>
      <c r="G73" s="22">
        <f t="shared" ca="1" si="29"/>
        <v>0</v>
      </c>
      <c r="H73" s="15">
        <f>SUMIFS(Monatsexporte[Saldo],Monatsexporte[Jahr],$B$4,Monatsexporte[Monat],1,Monatsexporte[Konto],B73)</f>
        <v>0</v>
      </c>
      <c r="I73" s="15">
        <f>SUMIFS(Monatsexporte[Saldo],Monatsexporte[Jahr],$B$5,Monatsexporte[Monat],1,Monatsexporte[Konto],B73)</f>
        <v>0</v>
      </c>
      <c r="J73" s="22">
        <f t="shared" si="30"/>
        <v>0</v>
      </c>
      <c r="K73" s="15">
        <f>SUMIFS(Monatsexporte[Saldo],Monatsexporte[Jahr],$B$4,Monatsexporte[Monat],2,Monatsexporte[Konto],B73)</f>
        <v>0</v>
      </c>
      <c r="L73" s="15">
        <f>SUMIFS(Monatsexporte[Saldo],Monatsexporte[Jahr],$B$5,Monatsexporte[Monat],2,Monatsexporte[Konto],B73)</f>
        <v>0</v>
      </c>
      <c r="M73" s="22">
        <f t="shared" si="31"/>
        <v>0</v>
      </c>
      <c r="N73" s="15">
        <f>SUMIFS(Monatsexporte[Saldo],Monatsexporte[Jahr],$B$4,Monatsexporte[Monat],3,Monatsexporte[Konto],B73)</f>
        <v>12869.64</v>
      </c>
      <c r="O73" s="15">
        <f>SUMIFS(Monatsexporte[Saldo],Monatsexporte[Jahr],$B$5,Monatsexporte[Monat],3,Monatsexporte[Konto],B73)</f>
        <v>0</v>
      </c>
      <c r="P73" s="22">
        <f t="shared" si="32"/>
        <v>0</v>
      </c>
      <c r="Q73" s="15">
        <f>SUMIFS(Monatsexporte[Saldo],Monatsexporte[Jahr],$B$4,Monatsexporte[Monat],4,Monatsexporte[Konto],B73)</f>
        <v>12869.64</v>
      </c>
      <c r="R73" s="15">
        <f>SUMIFS(Monatsexporte[Saldo],Monatsexporte[Jahr],$B$5,Monatsexporte[Monat],4,Monatsexporte[Konto],B73)</f>
        <v>0</v>
      </c>
      <c r="S73" s="22">
        <f t="shared" si="33"/>
        <v>0</v>
      </c>
      <c r="T73" s="15">
        <f>SUMIFS(Monatsexporte[Saldo],Monatsexporte[Jahr],$B$4,Monatsexporte[Monat],5,Monatsexporte[Konto],B73)</f>
        <v>12869.64</v>
      </c>
      <c r="U73" s="15">
        <f>SUMIFS(Monatsexporte[Saldo],Monatsexporte[Jahr],$B$5,Monatsexporte[Monat],5,Monatsexporte[Konto],B73)</f>
        <v>0</v>
      </c>
      <c r="V73" s="22">
        <f t="shared" si="34"/>
        <v>0</v>
      </c>
      <c r="W73" s="15">
        <f>SUMIFS(Monatsexporte[Saldo],Monatsexporte[Jahr],$B$4,Monatsexporte[Monat],6,Monatsexporte[Konto],B73)</f>
        <v>0</v>
      </c>
      <c r="X73" s="15">
        <f>SUMIFS(Monatsexporte[Saldo],Monatsexporte[Jahr],$B$5,Monatsexporte[Monat],6,Monatsexporte[Konto],B73)</f>
        <v>0</v>
      </c>
      <c r="Y73" s="22">
        <f t="shared" si="35"/>
        <v>0</v>
      </c>
      <c r="Z73" s="15">
        <f>SUMIFS(Monatsexporte[Saldo],Monatsexporte[Jahr],$B$4,Monatsexporte[Monat],7,Monatsexporte[Konto],B73)</f>
        <v>0</v>
      </c>
      <c r="AA73" s="15">
        <f>SUMIFS(Monatsexporte[Saldo],Monatsexporte[Jahr],$B$5,Monatsexporte[Monat],7,Monatsexporte[Konto],B73)</f>
        <v>0</v>
      </c>
      <c r="AB73" s="22">
        <f t="shared" si="36"/>
        <v>0</v>
      </c>
      <c r="AC73" s="15">
        <f>SUMIFS(Monatsexporte[Saldo],Monatsexporte[Jahr],$B$4,Monatsexporte[Monat],8,Monatsexporte[Konto],B73)</f>
        <v>0</v>
      </c>
      <c r="AD73" s="15">
        <f>SUMIFS(Monatsexporte[Saldo],Monatsexporte[Jahr],$B$5,Monatsexporte[Monat],8,Monatsexporte[Konto],B73)</f>
        <v>0</v>
      </c>
      <c r="AE73" s="22">
        <f t="shared" si="37"/>
        <v>0</v>
      </c>
      <c r="AF73" s="15">
        <f>SUMIFS(Monatsexporte[Saldo],Monatsexporte[Jahr],$B$4,Monatsexporte[Monat],9,Monatsexporte[Konto],B73)</f>
        <v>0</v>
      </c>
      <c r="AG73" s="15">
        <f>SUMIFS(Monatsexporte[Saldo],Monatsexporte[Jahr],$B$5,Monatsexporte[Monat],9,Monatsexporte[Konto],B73)</f>
        <v>0</v>
      </c>
      <c r="AH73" s="22">
        <f t="shared" si="38"/>
        <v>0</v>
      </c>
      <c r="AI73" s="15">
        <f>SUMIFS(Monatsexporte[Saldo],Monatsexporte[Jahr],$B$4,Monatsexporte[Monat],10,Monatsexporte[Konto],B73)</f>
        <v>0</v>
      </c>
      <c r="AJ73" s="15">
        <f>SUMIFS(Monatsexporte[Saldo],Monatsexporte[Jahr],$B$5,Monatsexporte[Monat],10,Monatsexporte[Konto],B73)</f>
        <v>0</v>
      </c>
      <c r="AK73" s="22">
        <f t="shared" si="39"/>
        <v>0</v>
      </c>
      <c r="AL73" s="15">
        <f>SUMIFS(Monatsexporte[Saldo],Monatsexporte[Jahr],$B$4,Monatsexporte[Monat],11,Monatsexporte[Konto],B73)</f>
        <v>0</v>
      </c>
      <c r="AM73" s="15">
        <f>SUMIFS(Monatsexporte[Saldo],Monatsexporte[Jahr],$B$5,Monatsexporte[Monat],11,Monatsexporte[Konto],B73)</f>
        <v>0</v>
      </c>
      <c r="AN73" s="22">
        <f t="shared" si="40"/>
        <v>0</v>
      </c>
      <c r="AO73" s="15">
        <f>SUMIFS(Monatsexporte[Saldo],Monatsexporte[Jahr],$B$4,Monatsexporte[Monat],12,Monatsexporte[Konto],B73)</f>
        <v>0</v>
      </c>
      <c r="AP73" s="15">
        <f>SUMIFS(Monatsexporte[Saldo],Monatsexporte[Jahr],$B$5,Monatsexporte[Monat],12,Monatsexporte[Konto],B73)</f>
        <v>0</v>
      </c>
      <c r="AQ73" s="22">
        <f t="shared" si="41"/>
        <v>0</v>
      </c>
    </row>
    <row r="74" spans="1:43" outlineLevel="1" x14ac:dyDescent="0.45">
      <c r="A74" s="10" t="s">
        <v>464</v>
      </c>
      <c r="B74" s="39">
        <v>690182025</v>
      </c>
      <c r="C74" s="15">
        <v>5711</v>
      </c>
      <c r="D74" s="15">
        <f ca="1">SUMIFS(Monatsexporte[Saldo],Monatsexporte[Jahr],$B$4,Monatsexporte[Monat],"&lt;="&amp;$B$8,Monatsexporte[Konto],B74)</f>
        <v>17134.439999999999</v>
      </c>
      <c r="E74" s="15">
        <f ca="1">SUMIFS(Monatsexporte[Saldo],Monatsexporte[Jahr],$B$5,Monatsexporte[Monat],"&lt;="&amp;$B$8,Monatsexporte[Konto],B74)</f>
        <v>0</v>
      </c>
      <c r="F74" s="15">
        <f t="shared" ca="1" si="28"/>
        <v>17134.439999999999</v>
      </c>
      <c r="G74" s="22">
        <f t="shared" ca="1" si="29"/>
        <v>0</v>
      </c>
      <c r="H74" s="15">
        <f>SUMIFS(Monatsexporte[Saldo],Monatsexporte[Jahr],$B$4,Monatsexporte[Monat],1,Monatsexporte[Konto],B74)</f>
        <v>0</v>
      </c>
      <c r="I74" s="15">
        <f>SUMIFS(Monatsexporte[Saldo],Monatsexporte[Jahr],$B$5,Monatsexporte[Monat],1,Monatsexporte[Konto],B74)</f>
        <v>0</v>
      </c>
      <c r="J74" s="22">
        <f t="shared" si="30"/>
        <v>0</v>
      </c>
      <c r="K74" s="15">
        <f>SUMIFS(Monatsexporte[Saldo],Monatsexporte[Jahr],$B$4,Monatsexporte[Monat],2,Monatsexporte[Konto],B74)</f>
        <v>0</v>
      </c>
      <c r="L74" s="15">
        <f>SUMIFS(Monatsexporte[Saldo],Monatsexporte[Jahr],$B$5,Monatsexporte[Monat],2,Monatsexporte[Konto],B74)</f>
        <v>0</v>
      </c>
      <c r="M74" s="22">
        <f t="shared" si="31"/>
        <v>0</v>
      </c>
      <c r="N74" s="15">
        <f>SUMIFS(Monatsexporte[Saldo],Monatsexporte[Jahr],$B$4,Monatsexporte[Monat],3,Monatsexporte[Konto],B74)</f>
        <v>5711.48</v>
      </c>
      <c r="O74" s="15">
        <f>SUMIFS(Monatsexporte[Saldo],Monatsexporte[Jahr],$B$5,Monatsexporte[Monat],3,Monatsexporte[Konto],B74)</f>
        <v>0</v>
      </c>
      <c r="P74" s="22">
        <f t="shared" si="32"/>
        <v>0</v>
      </c>
      <c r="Q74" s="15">
        <f>SUMIFS(Monatsexporte[Saldo],Monatsexporte[Jahr],$B$4,Monatsexporte[Monat],4,Monatsexporte[Konto],B74)</f>
        <v>5711.48</v>
      </c>
      <c r="R74" s="15">
        <f>SUMIFS(Monatsexporte[Saldo],Monatsexporte[Jahr],$B$5,Monatsexporte[Monat],4,Monatsexporte[Konto],B74)</f>
        <v>0</v>
      </c>
      <c r="S74" s="22">
        <f t="shared" si="33"/>
        <v>0</v>
      </c>
      <c r="T74" s="15">
        <f>SUMIFS(Monatsexporte[Saldo],Monatsexporte[Jahr],$B$4,Monatsexporte[Monat],5,Monatsexporte[Konto],B74)</f>
        <v>5711.48</v>
      </c>
      <c r="U74" s="15">
        <f>SUMIFS(Monatsexporte[Saldo],Monatsexporte[Jahr],$B$5,Monatsexporte[Monat],5,Monatsexporte[Konto],B74)</f>
        <v>0</v>
      </c>
      <c r="V74" s="22">
        <f t="shared" si="34"/>
        <v>0</v>
      </c>
      <c r="W74" s="15">
        <f>SUMIFS(Monatsexporte[Saldo],Monatsexporte[Jahr],$B$4,Monatsexporte[Monat],6,Monatsexporte[Konto],B74)</f>
        <v>0</v>
      </c>
      <c r="X74" s="15">
        <f>SUMIFS(Monatsexporte[Saldo],Monatsexporte[Jahr],$B$5,Monatsexporte[Monat],6,Monatsexporte[Konto],B74)</f>
        <v>0</v>
      </c>
      <c r="Y74" s="22">
        <f t="shared" si="35"/>
        <v>0</v>
      </c>
      <c r="Z74" s="15">
        <f>SUMIFS(Monatsexporte[Saldo],Monatsexporte[Jahr],$B$4,Monatsexporte[Monat],7,Monatsexporte[Konto],B74)</f>
        <v>0</v>
      </c>
      <c r="AA74" s="15">
        <f>SUMIFS(Monatsexporte[Saldo],Monatsexporte[Jahr],$B$5,Monatsexporte[Monat],7,Monatsexporte[Konto],B74)</f>
        <v>0</v>
      </c>
      <c r="AB74" s="22">
        <f t="shared" si="36"/>
        <v>0</v>
      </c>
      <c r="AC74" s="15">
        <f>SUMIFS(Monatsexporte[Saldo],Monatsexporte[Jahr],$B$4,Monatsexporte[Monat],8,Monatsexporte[Konto],B74)</f>
        <v>0</v>
      </c>
      <c r="AD74" s="15">
        <f>SUMIFS(Monatsexporte[Saldo],Monatsexporte[Jahr],$B$5,Monatsexporte[Monat],8,Monatsexporte[Konto],B74)</f>
        <v>0</v>
      </c>
      <c r="AE74" s="22">
        <f t="shared" si="37"/>
        <v>0</v>
      </c>
      <c r="AF74" s="15">
        <f>SUMIFS(Monatsexporte[Saldo],Monatsexporte[Jahr],$B$4,Monatsexporte[Monat],9,Monatsexporte[Konto],B74)</f>
        <v>0</v>
      </c>
      <c r="AG74" s="15">
        <f>SUMIFS(Monatsexporte[Saldo],Monatsexporte[Jahr],$B$5,Monatsexporte[Monat],9,Monatsexporte[Konto],B74)</f>
        <v>0</v>
      </c>
      <c r="AH74" s="22">
        <f t="shared" si="38"/>
        <v>0</v>
      </c>
      <c r="AI74" s="15">
        <f>SUMIFS(Monatsexporte[Saldo],Monatsexporte[Jahr],$B$4,Monatsexporte[Monat],10,Monatsexporte[Konto],B74)</f>
        <v>0</v>
      </c>
      <c r="AJ74" s="15">
        <f>SUMIFS(Monatsexporte[Saldo],Monatsexporte[Jahr],$B$5,Monatsexporte[Monat],10,Monatsexporte[Konto],B74)</f>
        <v>0</v>
      </c>
      <c r="AK74" s="22">
        <f t="shared" si="39"/>
        <v>0</v>
      </c>
      <c r="AL74" s="15">
        <f>SUMIFS(Monatsexporte[Saldo],Monatsexporte[Jahr],$B$4,Monatsexporte[Monat],11,Monatsexporte[Konto],B74)</f>
        <v>0</v>
      </c>
      <c r="AM74" s="15">
        <f>SUMIFS(Monatsexporte[Saldo],Monatsexporte[Jahr],$B$5,Monatsexporte[Monat],11,Monatsexporte[Konto],B74)</f>
        <v>0</v>
      </c>
      <c r="AN74" s="22">
        <f t="shared" si="40"/>
        <v>0</v>
      </c>
      <c r="AO74" s="15">
        <f>SUMIFS(Monatsexporte[Saldo],Monatsexporte[Jahr],$B$4,Monatsexporte[Monat],12,Monatsexporte[Konto],B74)</f>
        <v>0</v>
      </c>
      <c r="AP74" s="15">
        <f>SUMIFS(Monatsexporte[Saldo],Monatsexporte[Jahr],$B$5,Monatsexporte[Monat],12,Monatsexporte[Konto],B74)</f>
        <v>0</v>
      </c>
      <c r="AQ74" s="22">
        <f t="shared" si="41"/>
        <v>0</v>
      </c>
    </row>
    <row r="75" spans="1:43" outlineLevel="1" x14ac:dyDescent="0.45">
      <c r="A75" s="10" t="s">
        <v>465</v>
      </c>
      <c r="B75" s="39">
        <v>690182037</v>
      </c>
      <c r="C75" s="15">
        <v>25428</v>
      </c>
      <c r="D75" s="15">
        <f ca="1">SUMIFS(Monatsexporte[Saldo],Monatsexporte[Jahr],$B$4,Monatsexporte[Monat],"&lt;="&amp;$B$8,Monatsexporte[Konto],B75)</f>
        <v>76285.47</v>
      </c>
      <c r="E75" s="15">
        <f ca="1">SUMIFS(Monatsexporte[Saldo],Monatsexporte[Jahr],$B$5,Monatsexporte[Monat],"&lt;="&amp;$B$8,Monatsexporte[Konto],B75)</f>
        <v>0</v>
      </c>
      <c r="F75" s="15">
        <f t="shared" ca="1" si="28"/>
        <v>76285.47</v>
      </c>
      <c r="G75" s="22">
        <f t="shared" ca="1" si="29"/>
        <v>0</v>
      </c>
      <c r="H75" s="15">
        <f>SUMIFS(Monatsexporte[Saldo],Monatsexporte[Jahr],$B$4,Monatsexporte[Monat],1,Monatsexporte[Konto],B75)</f>
        <v>0</v>
      </c>
      <c r="I75" s="15">
        <f>SUMIFS(Monatsexporte[Saldo],Monatsexporte[Jahr],$B$5,Monatsexporte[Monat],1,Monatsexporte[Konto],B75)</f>
        <v>0</v>
      </c>
      <c r="J75" s="22">
        <f t="shared" si="30"/>
        <v>0</v>
      </c>
      <c r="K75" s="15">
        <f>SUMIFS(Monatsexporte[Saldo],Monatsexporte[Jahr],$B$4,Monatsexporte[Monat],2,Monatsexporte[Konto],B75)</f>
        <v>0</v>
      </c>
      <c r="L75" s="15">
        <f>SUMIFS(Monatsexporte[Saldo],Monatsexporte[Jahr],$B$5,Monatsexporte[Monat],2,Monatsexporte[Konto],B75)</f>
        <v>0</v>
      </c>
      <c r="M75" s="22">
        <f t="shared" si="31"/>
        <v>0</v>
      </c>
      <c r="N75" s="15">
        <f>SUMIFS(Monatsexporte[Saldo],Monatsexporte[Jahr],$B$4,Monatsexporte[Monat],3,Monatsexporte[Konto],B75)</f>
        <v>25428.49</v>
      </c>
      <c r="O75" s="15">
        <f>SUMIFS(Monatsexporte[Saldo],Monatsexporte[Jahr],$B$5,Monatsexporte[Monat],3,Monatsexporte[Konto],B75)</f>
        <v>0</v>
      </c>
      <c r="P75" s="22">
        <f t="shared" si="32"/>
        <v>0</v>
      </c>
      <c r="Q75" s="15">
        <f>SUMIFS(Monatsexporte[Saldo],Monatsexporte[Jahr],$B$4,Monatsexporte[Monat],4,Monatsexporte[Konto],B75)</f>
        <v>25428.49</v>
      </c>
      <c r="R75" s="15">
        <f>SUMIFS(Monatsexporte[Saldo],Monatsexporte[Jahr],$B$5,Monatsexporte[Monat],4,Monatsexporte[Konto],B75)</f>
        <v>0</v>
      </c>
      <c r="S75" s="22">
        <f t="shared" si="33"/>
        <v>0</v>
      </c>
      <c r="T75" s="15">
        <f>SUMIFS(Monatsexporte[Saldo],Monatsexporte[Jahr],$B$4,Monatsexporte[Monat],5,Monatsexporte[Konto],B75)</f>
        <v>25428.49</v>
      </c>
      <c r="U75" s="15">
        <f>SUMIFS(Monatsexporte[Saldo],Monatsexporte[Jahr],$B$5,Monatsexporte[Monat],5,Monatsexporte[Konto],B75)</f>
        <v>0</v>
      </c>
      <c r="V75" s="22">
        <f t="shared" si="34"/>
        <v>0</v>
      </c>
      <c r="W75" s="15">
        <f>SUMIFS(Monatsexporte[Saldo],Monatsexporte[Jahr],$B$4,Monatsexporte[Monat],6,Monatsexporte[Konto],B75)</f>
        <v>0</v>
      </c>
      <c r="X75" s="15">
        <f>SUMIFS(Monatsexporte[Saldo],Monatsexporte[Jahr],$B$5,Monatsexporte[Monat],6,Monatsexporte[Konto],B75)</f>
        <v>0</v>
      </c>
      <c r="Y75" s="22">
        <f t="shared" si="35"/>
        <v>0</v>
      </c>
      <c r="Z75" s="15">
        <f>SUMIFS(Monatsexporte[Saldo],Monatsexporte[Jahr],$B$4,Monatsexporte[Monat],7,Monatsexporte[Konto],B75)</f>
        <v>0</v>
      </c>
      <c r="AA75" s="15">
        <f>SUMIFS(Monatsexporte[Saldo],Monatsexporte[Jahr],$B$5,Monatsexporte[Monat],7,Monatsexporte[Konto],B75)</f>
        <v>0</v>
      </c>
      <c r="AB75" s="22">
        <f t="shared" si="36"/>
        <v>0</v>
      </c>
      <c r="AC75" s="15">
        <f>SUMIFS(Monatsexporte[Saldo],Monatsexporte[Jahr],$B$4,Monatsexporte[Monat],8,Monatsexporte[Konto],B75)</f>
        <v>0</v>
      </c>
      <c r="AD75" s="15">
        <f>SUMIFS(Monatsexporte[Saldo],Monatsexporte[Jahr],$B$5,Monatsexporte[Monat],8,Monatsexporte[Konto],B75)</f>
        <v>0</v>
      </c>
      <c r="AE75" s="22">
        <f t="shared" si="37"/>
        <v>0</v>
      </c>
      <c r="AF75" s="15">
        <f>SUMIFS(Monatsexporte[Saldo],Monatsexporte[Jahr],$B$4,Monatsexporte[Monat],9,Monatsexporte[Konto],B75)</f>
        <v>0</v>
      </c>
      <c r="AG75" s="15">
        <f>SUMIFS(Monatsexporte[Saldo],Monatsexporte[Jahr],$B$5,Monatsexporte[Monat],9,Monatsexporte[Konto],B75)</f>
        <v>0</v>
      </c>
      <c r="AH75" s="22">
        <f t="shared" si="38"/>
        <v>0</v>
      </c>
      <c r="AI75" s="15">
        <f>SUMIFS(Monatsexporte[Saldo],Monatsexporte[Jahr],$B$4,Monatsexporte[Monat],10,Monatsexporte[Konto],B75)</f>
        <v>0</v>
      </c>
      <c r="AJ75" s="15">
        <f>SUMIFS(Monatsexporte[Saldo],Monatsexporte[Jahr],$B$5,Monatsexporte[Monat],10,Monatsexporte[Konto],B75)</f>
        <v>0</v>
      </c>
      <c r="AK75" s="22">
        <f t="shared" si="39"/>
        <v>0</v>
      </c>
      <c r="AL75" s="15">
        <f>SUMIFS(Monatsexporte[Saldo],Monatsexporte[Jahr],$B$4,Monatsexporte[Monat],11,Monatsexporte[Konto],B75)</f>
        <v>0</v>
      </c>
      <c r="AM75" s="15">
        <f>SUMIFS(Monatsexporte[Saldo],Monatsexporte[Jahr],$B$5,Monatsexporte[Monat],11,Monatsexporte[Konto],B75)</f>
        <v>0</v>
      </c>
      <c r="AN75" s="22">
        <f t="shared" si="40"/>
        <v>0</v>
      </c>
      <c r="AO75" s="15">
        <f>SUMIFS(Monatsexporte[Saldo],Monatsexporte[Jahr],$B$4,Monatsexporte[Monat],12,Monatsexporte[Konto],B75)</f>
        <v>0</v>
      </c>
      <c r="AP75" s="15">
        <f>SUMIFS(Monatsexporte[Saldo],Monatsexporte[Jahr],$B$5,Monatsexporte[Monat],12,Monatsexporte[Konto],B75)</f>
        <v>0</v>
      </c>
      <c r="AQ75" s="22">
        <f t="shared" si="41"/>
        <v>0</v>
      </c>
    </row>
    <row r="76" spans="1:43" outlineLevel="1" x14ac:dyDescent="0.45">
      <c r="A76" s="10" t="s">
        <v>466</v>
      </c>
      <c r="B76" s="39">
        <v>690182040</v>
      </c>
      <c r="C76" s="15">
        <v>32000</v>
      </c>
      <c r="D76" s="15">
        <f ca="1">SUMIFS(Monatsexporte[Saldo],Monatsexporte[Jahr],$B$4,Monatsexporte[Monat],"&lt;="&amp;$B$8,Monatsexporte[Konto],B76)</f>
        <v>96000</v>
      </c>
      <c r="E76" s="15">
        <f ca="1">SUMIFS(Monatsexporte[Saldo],Monatsexporte[Jahr],$B$5,Monatsexporte[Monat],"&lt;="&amp;$B$8,Monatsexporte[Konto],B76)</f>
        <v>0</v>
      </c>
      <c r="F76" s="15">
        <f t="shared" ca="1" si="28"/>
        <v>96000</v>
      </c>
      <c r="G76" s="22">
        <f t="shared" ca="1" si="29"/>
        <v>0</v>
      </c>
      <c r="H76" s="15">
        <f>SUMIFS(Monatsexporte[Saldo],Monatsexporte[Jahr],$B$4,Monatsexporte[Monat],1,Monatsexporte[Konto],B76)</f>
        <v>0</v>
      </c>
      <c r="I76" s="15">
        <f>SUMIFS(Monatsexporte[Saldo],Monatsexporte[Jahr],$B$5,Monatsexporte[Monat],1,Monatsexporte[Konto],B76)</f>
        <v>0</v>
      </c>
      <c r="J76" s="22">
        <f t="shared" si="30"/>
        <v>0</v>
      </c>
      <c r="K76" s="15">
        <f>SUMIFS(Monatsexporte[Saldo],Monatsexporte[Jahr],$B$4,Monatsexporte[Monat],2,Monatsexporte[Konto],B76)</f>
        <v>0</v>
      </c>
      <c r="L76" s="15">
        <f>SUMIFS(Monatsexporte[Saldo],Monatsexporte[Jahr],$B$5,Monatsexporte[Monat],2,Monatsexporte[Konto],B76)</f>
        <v>0</v>
      </c>
      <c r="M76" s="22">
        <f t="shared" si="31"/>
        <v>0</v>
      </c>
      <c r="N76" s="15">
        <f>SUMIFS(Monatsexporte[Saldo],Monatsexporte[Jahr],$B$4,Monatsexporte[Monat],3,Monatsexporte[Konto],B76)</f>
        <v>32000</v>
      </c>
      <c r="O76" s="15">
        <f>SUMIFS(Monatsexporte[Saldo],Monatsexporte[Jahr],$B$5,Monatsexporte[Monat],3,Monatsexporte[Konto],B76)</f>
        <v>0</v>
      </c>
      <c r="P76" s="22">
        <f t="shared" si="32"/>
        <v>0</v>
      </c>
      <c r="Q76" s="15">
        <f>SUMIFS(Monatsexporte[Saldo],Monatsexporte[Jahr],$B$4,Monatsexporte[Monat],4,Monatsexporte[Konto],B76)</f>
        <v>32000</v>
      </c>
      <c r="R76" s="15">
        <f>SUMIFS(Monatsexporte[Saldo],Monatsexporte[Jahr],$B$5,Monatsexporte[Monat],4,Monatsexporte[Konto],B76)</f>
        <v>0</v>
      </c>
      <c r="S76" s="22">
        <f t="shared" si="33"/>
        <v>0</v>
      </c>
      <c r="T76" s="15">
        <f>SUMIFS(Monatsexporte[Saldo],Monatsexporte[Jahr],$B$4,Monatsexporte[Monat],5,Monatsexporte[Konto],B76)</f>
        <v>32000</v>
      </c>
      <c r="U76" s="15">
        <f>SUMIFS(Monatsexporte[Saldo],Monatsexporte[Jahr],$B$5,Monatsexporte[Monat],5,Monatsexporte[Konto],B76)</f>
        <v>0</v>
      </c>
      <c r="V76" s="22">
        <f t="shared" si="34"/>
        <v>0</v>
      </c>
      <c r="W76" s="15">
        <f>SUMIFS(Monatsexporte[Saldo],Monatsexporte[Jahr],$B$4,Monatsexporte[Monat],6,Monatsexporte[Konto],B76)</f>
        <v>0</v>
      </c>
      <c r="X76" s="15">
        <f>SUMIFS(Monatsexporte[Saldo],Monatsexporte[Jahr],$B$5,Monatsexporte[Monat],6,Monatsexporte[Konto],B76)</f>
        <v>0</v>
      </c>
      <c r="Y76" s="22">
        <f t="shared" si="35"/>
        <v>0</v>
      </c>
      <c r="Z76" s="15">
        <f>SUMIFS(Monatsexporte[Saldo],Monatsexporte[Jahr],$B$4,Monatsexporte[Monat],7,Monatsexporte[Konto],B76)</f>
        <v>0</v>
      </c>
      <c r="AA76" s="15">
        <f>SUMIFS(Monatsexporte[Saldo],Monatsexporte[Jahr],$B$5,Monatsexporte[Monat],7,Monatsexporte[Konto],B76)</f>
        <v>0</v>
      </c>
      <c r="AB76" s="22">
        <f t="shared" si="36"/>
        <v>0</v>
      </c>
      <c r="AC76" s="15">
        <f>SUMIFS(Monatsexporte[Saldo],Monatsexporte[Jahr],$B$4,Monatsexporte[Monat],8,Monatsexporte[Konto],B76)</f>
        <v>0</v>
      </c>
      <c r="AD76" s="15">
        <f>SUMIFS(Monatsexporte[Saldo],Monatsexporte[Jahr],$B$5,Monatsexporte[Monat],8,Monatsexporte[Konto],B76)</f>
        <v>0</v>
      </c>
      <c r="AE76" s="22">
        <f t="shared" si="37"/>
        <v>0</v>
      </c>
      <c r="AF76" s="15">
        <f>SUMIFS(Monatsexporte[Saldo],Monatsexporte[Jahr],$B$4,Monatsexporte[Monat],9,Monatsexporte[Konto],B76)</f>
        <v>0</v>
      </c>
      <c r="AG76" s="15">
        <f>SUMIFS(Monatsexporte[Saldo],Monatsexporte[Jahr],$B$5,Monatsexporte[Monat],9,Monatsexporte[Konto],B76)</f>
        <v>0</v>
      </c>
      <c r="AH76" s="22">
        <f t="shared" si="38"/>
        <v>0</v>
      </c>
      <c r="AI76" s="15">
        <f>SUMIFS(Monatsexporte[Saldo],Monatsexporte[Jahr],$B$4,Monatsexporte[Monat],10,Monatsexporte[Konto],B76)</f>
        <v>0</v>
      </c>
      <c r="AJ76" s="15">
        <f>SUMIFS(Monatsexporte[Saldo],Monatsexporte[Jahr],$B$5,Monatsexporte[Monat],10,Monatsexporte[Konto],B76)</f>
        <v>0</v>
      </c>
      <c r="AK76" s="22">
        <f t="shared" si="39"/>
        <v>0</v>
      </c>
      <c r="AL76" s="15">
        <f>SUMIFS(Monatsexporte[Saldo],Monatsexporte[Jahr],$B$4,Monatsexporte[Monat],11,Monatsexporte[Konto],B76)</f>
        <v>0</v>
      </c>
      <c r="AM76" s="15">
        <f>SUMIFS(Monatsexporte[Saldo],Monatsexporte[Jahr],$B$5,Monatsexporte[Monat],11,Monatsexporte[Konto],B76)</f>
        <v>0</v>
      </c>
      <c r="AN76" s="22">
        <f t="shared" si="40"/>
        <v>0</v>
      </c>
      <c r="AO76" s="15">
        <f>SUMIFS(Monatsexporte[Saldo],Monatsexporte[Jahr],$B$4,Monatsexporte[Monat],12,Monatsexporte[Konto],B76)</f>
        <v>0</v>
      </c>
      <c r="AP76" s="15">
        <f>SUMIFS(Monatsexporte[Saldo],Monatsexporte[Jahr],$B$5,Monatsexporte[Monat],12,Monatsexporte[Konto],B76)</f>
        <v>0</v>
      </c>
      <c r="AQ76" s="22">
        <f t="shared" si="41"/>
        <v>0</v>
      </c>
    </row>
    <row r="77" spans="1:43" outlineLevel="1" x14ac:dyDescent="0.45">
      <c r="A77" s="10" t="s">
        <v>467</v>
      </c>
      <c r="B77" s="39">
        <v>690182048</v>
      </c>
      <c r="C77" s="15">
        <v>5120</v>
      </c>
      <c r="D77" s="15">
        <f ca="1">SUMIFS(Monatsexporte[Saldo],Monatsexporte[Jahr],$B$4,Monatsexporte[Monat],"&lt;="&amp;$B$8,Monatsexporte[Konto],B77)</f>
        <v>15360</v>
      </c>
      <c r="E77" s="15">
        <f ca="1">SUMIFS(Monatsexporte[Saldo],Monatsexporte[Jahr],$B$5,Monatsexporte[Monat],"&lt;="&amp;$B$8,Monatsexporte[Konto],B77)</f>
        <v>0</v>
      </c>
      <c r="F77" s="15">
        <f t="shared" ca="1" si="28"/>
        <v>15360</v>
      </c>
      <c r="G77" s="22">
        <f t="shared" ca="1" si="29"/>
        <v>0</v>
      </c>
      <c r="H77" s="15">
        <f>SUMIFS(Monatsexporte[Saldo],Monatsexporte[Jahr],$B$4,Monatsexporte[Monat],1,Monatsexporte[Konto],B77)</f>
        <v>0</v>
      </c>
      <c r="I77" s="15">
        <f>SUMIFS(Monatsexporte[Saldo],Monatsexporte[Jahr],$B$5,Monatsexporte[Monat],1,Monatsexporte[Konto],B77)</f>
        <v>0</v>
      </c>
      <c r="J77" s="22">
        <f t="shared" si="30"/>
        <v>0</v>
      </c>
      <c r="K77" s="15">
        <f>SUMIFS(Monatsexporte[Saldo],Monatsexporte[Jahr],$B$4,Monatsexporte[Monat],2,Monatsexporte[Konto],B77)</f>
        <v>0</v>
      </c>
      <c r="L77" s="15">
        <f>SUMIFS(Monatsexporte[Saldo],Monatsexporte[Jahr],$B$5,Monatsexporte[Monat],2,Monatsexporte[Konto],B77)</f>
        <v>0</v>
      </c>
      <c r="M77" s="22">
        <f t="shared" si="31"/>
        <v>0</v>
      </c>
      <c r="N77" s="15">
        <f>SUMIFS(Monatsexporte[Saldo],Monatsexporte[Jahr],$B$4,Monatsexporte[Monat],3,Monatsexporte[Konto],B77)</f>
        <v>5120</v>
      </c>
      <c r="O77" s="15">
        <f>SUMIFS(Monatsexporte[Saldo],Monatsexporte[Jahr],$B$5,Monatsexporte[Monat],3,Monatsexporte[Konto],B77)</f>
        <v>0</v>
      </c>
      <c r="P77" s="22">
        <f t="shared" si="32"/>
        <v>0</v>
      </c>
      <c r="Q77" s="15">
        <f>SUMIFS(Monatsexporte[Saldo],Monatsexporte[Jahr],$B$4,Monatsexporte[Monat],4,Monatsexporte[Konto],B77)</f>
        <v>5120</v>
      </c>
      <c r="R77" s="15">
        <f>SUMIFS(Monatsexporte[Saldo],Monatsexporte[Jahr],$B$5,Monatsexporte[Monat],4,Monatsexporte[Konto],B77)</f>
        <v>0</v>
      </c>
      <c r="S77" s="22">
        <f t="shared" si="33"/>
        <v>0</v>
      </c>
      <c r="T77" s="15">
        <f>SUMIFS(Monatsexporte[Saldo],Monatsexporte[Jahr],$B$4,Monatsexporte[Monat],5,Monatsexporte[Konto],B77)</f>
        <v>5120</v>
      </c>
      <c r="U77" s="15">
        <f>SUMIFS(Monatsexporte[Saldo],Monatsexporte[Jahr],$B$5,Monatsexporte[Monat],5,Monatsexporte[Konto],B77)</f>
        <v>0</v>
      </c>
      <c r="V77" s="22">
        <f t="shared" si="34"/>
        <v>0</v>
      </c>
      <c r="W77" s="15">
        <f>SUMIFS(Monatsexporte[Saldo],Monatsexporte[Jahr],$B$4,Monatsexporte[Monat],6,Monatsexporte[Konto],B77)</f>
        <v>0</v>
      </c>
      <c r="X77" s="15">
        <f>SUMIFS(Monatsexporte[Saldo],Monatsexporte[Jahr],$B$5,Monatsexporte[Monat],6,Monatsexporte[Konto],B77)</f>
        <v>0</v>
      </c>
      <c r="Y77" s="22">
        <f t="shared" si="35"/>
        <v>0</v>
      </c>
      <c r="Z77" s="15">
        <f>SUMIFS(Monatsexporte[Saldo],Monatsexporte[Jahr],$B$4,Monatsexporte[Monat],7,Monatsexporte[Konto],B77)</f>
        <v>0</v>
      </c>
      <c r="AA77" s="15">
        <f>SUMIFS(Monatsexporte[Saldo],Monatsexporte[Jahr],$B$5,Monatsexporte[Monat],7,Monatsexporte[Konto],B77)</f>
        <v>0</v>
      </c>
      <c r="AB77" s="22">
        <f t="shared" si="36"/>
        <v>0</v>
      </c>
      <c r="AC77" s="15">
        <f>SUMIFS(Monatsexporte[Saldo],Monatsexporte[Jahr],$B$4,Monatsexporte[Monat],8,Monatsexporte[Konto],B77)</f>
        <v>0</v>
      </c>
      <c r="AD77" s="15">
        <f>SUMIFS(Monatsexporte[Saldo],Monatsexporte[Jahr],$B$5,Monatsexporte[Monat],8,Monatsexporte[Konto],B77)</f>
        <v>0</v>
      </c>
      <c r="AE77" s="22">
        <f t="shared" si="37"/>
        <v>0</v>
      </c>
      <c r="AF77" s="15">
        <f>SUMIFS(Monatsexporte[Saldo],Monatsexporte[Jahr],$B$4,Monatsexporte[Monat],9,Monatsexporte[Konto],B77)</f>
        <v>0</v>
      </c>
      <c r="AG77" s="15">
        <f>SUMIFS(Monatsexporte[Saldo],Monatsexporte[Jahr],$B$5,Monatsexporte[Monat],9,Monatsexporte[Konto],B77)</f>
        <v>0</v>
      </c>
      <c r="AH77" s="22">
        <f t="shared" si="38"/>
        <v>0</v>
      </c>
      <c r="AI77" s="15">
        <f>SUMIFS(Monatsexporte[Saldo],Monatsexporte[Jahr],$B$4,Monatsexporte[Monat],10,Monatsexporte[Konto],B77)</f>
        <v>0</v>
      </c>
      <c r="AJ77" s="15">
        <f>SUMIFS(Monatsexporte[Saldo],Monatsexporte[Jahr],$B$5,Monatsexporte[Monat],10,Monatsexporte[Konto],B77)</f>
        <v>0</v>
      </c>
      <c r="AK77" s="22">
        <f t="shared" si="39"/>
        <v>0</v>
      </c>
      <c r="AL77" s="15">
        <f>SUMIFS(Monatsexporte[Saldo],Monatsexporte[Jahr],$B$4,Monatsexporte[Monat],11,Monatsexporte[Konto],B77)</f>
        <v>0</v>
      </c>
      <c r="AM77" s="15">
        <f>SUMIFS(Monatsexporte[Saldo],Monatsexporte[Jahr],$B$5,Monatsexporte[Monat],11,Monatsexporte[Konto],B77)</f>
        <v>0</v>
      </c>
      <c r="AN77" s="22">
        <f t="shared" si="40"/>
        <v>0</v>
      </c>
      <c r="AO77" s="15">
        <f>SUMIFS(Monatsexporte[Saldo],Monatsexporte[Jahr],$B$4,Monatsexporte[Monat],12,Monatsexporte[Konto],B77)</f>
        <v>0</v>
      </c>
      <c r="AP77" s="15">
        <f>SUMIFS(Monatsexporte[Saldo],Monatsexporte[Jahr],$B$5,Monatsexporte[Monat],12,Monatsexporte[Konto],B77)</f>
        <v>0</v>
      </c>
      <c r="AQ77" s="22">
        <f t="shared" si="41"/>
        <v>0</v>
      </c>
    </row>
    <row r="78" spans="1:43" outlineLevel="1" x14ac:dyDescent="0.45">
      <c r="A78" s="10" t="s">
        <v>468</v>
      </c>
      <c r="B78" s="39">
        <v>690182520</v>
      </c>
      <c r="C78" s="15">
        <v>2230</v>
      </c>
      <c r="D78" s="15">
        <f ca="1">SUMIFS(Monatsexporte[Saldo],Monatsexporte[Jahr],$B$4,Monatsexporte[Monat],"&lt;="&amp;$B$8,Monatsexporte[Konto],B78)</f>
        <v>6689.13</v>
      </c>
      <c r="E78" s="15">
        <f ca="1">SUMIFS(Monatsexporte[Saldo],Monatsexporte[Jahr],$B$5,Monatsexporte[Monat],"&lt;="&amp;$B$8,Monatsexporte[Konto],B78)</f>
        <v>0</v>
      </c>
      <c r="F78" s="15">
        <f t="shared" ca="1" si="28"/>
        <v>6689.13</v>
      </c>
      <c r="G78" s="22">
        <f t="shared" ca="1" si="29"/>
        <v>0</v>
      </c>
      <c r="H78" s="15">
        <f>SUMIFS(Monatsexporte[Saldo],Monatsexporte[Jahr],$B$4,Monatsexporte[Monat],1,Monatsexporte[Konto],B78)</f>
        <v>0</v>
      </c>
      <c r="I78" s="15">
        <f>SUMIFS(Monatsexporte[Saldo],Monatsexporte[Jahr],$B$5,Monatsexporte[Monat],1,Monatsexporte[Konto],B78)</f>
        <v>0</v>
      </c>
      <c r="J78" s="22">
        <f t="shared" si="30"/>
        <v>0</v>
      </c>
      <c r="K78" s="15">
        <f>SUMIFS(Monatsexporte[Saldo],Monatsexporte[Jahr],$B$4,Monatsexporte[Monat],2,Monatsexporte[Konto],B78)</f>
        <v>0</v>
      </c>
      <c r="L78" s="15">
        <f>SUMIFS(Monatsexporte[Saldo],Monatsexporte[Jahr],$B$5,Monatsexporte[Monat],2,Monatsexporte[Konto],B78)</f>
        <v>0</v>
      </c>
      <c r="M78" s="22">
        <f t="shared" si="31"/>
        <v>0</v>
      </c>
      <c r="N78" s="15">
        <f>SUMIFS(Monatsexporte[Saldo],Monatsexporte[Jahr],$B$4,Monatsexporte[Monat],3,Monatsexporte[Konto],B78)</f>
        <v>2229.71</v>
      </c>
      <c r="O78" s="15">
        <f>SUMIFS(Monatsexporte[Saldo],Monatsexporte[Jahr],$B$5,Monatsexporte[Monat],3,Monatsexporte[Konto],B78)</f>
        <v>0</v>
      </c>
      <c r="P78" s="22">
        <f t="shared" si="32"/>
        <v>0</v>
      </c>
      <c r="Q78" s="15">
        <f>SUMIFS(Monatsexporte[Saldo],Monatsexporte[Jahr],$B$4,Monatsexporte[Monat],4,Monatsexporte[Konto],B78)</f>
        <v>2229.71</v>
      </c>
      <c r="R78" s="15">
        <f>SUMIFS(Monatsexporte[Saldo],Monatsexporte[Jahr],$B$5,Monatsexporte[Monat],4,Monatsexporte[Konto],B78)</f>
        <v>0</v>
      </c>
      <c r="S78" s="22">
        <f t="shared" si="33"/>
        <v>0</v>
      </c>
      <c r="T78" s="15">
        <f>SUMIFS(Monatsexporte[Saldo],Monatsexporte[Jahr],$B$4,Monatsexporte[Monat],5,Monatsexporte[Konto],B78)</f>
        <v>2229.71</v>
      </c>
      <c r="U78" s="15">
        <f>SUMIFS(Monatsexporte[Saldo],Monatsexporte[Jahr],$B$5,Monatsexporte[Monat],5,Monatsexporte[Konto],B78)</f>
        <v>0</v>
      </c>
      <c r="V78" s="22">
        <f t="shared" si="34"/>
        <v>0</v>
      </c>
      <c r="W78" s="15">
        <f>SUMIFS(Monatsexporte[Saldo],Monatsexporte[Jahr],$B$4,Monatsexporte[Monat],6,Monatsexporte[Konto],B78)</f>
        <v>0</v>
      </c>
      <c r="X78" s="15">
        <f>SUMIFS(Monatsexporte[Saldo],Monatsexporte[Jahr],$B$5,Monatsexporte[Monat],6,Monatsexporte[Konto],B78)</f>
        <v>0</v>
      </c>
      <c r="Y78" s="22">
        <f t="shared" si="35"/>
        <v>0</v>
      </c>
      <c r="Z78" s="15">
        <f>SUMIFS(Monatsexporte[Saldo],Monatsexporte[Jahr],$B$4,Monatsexporte[Monat],7,Monatsexporte[Konto],B78)</f>
        <v>0</v>
      </c>
      <c r="AA78" s="15">
        <f>SUMIFS(Monatsexporte[Saldo],Monatsexporte[Jahr],$B$5,Monatsexporte[Monat],7,Monatsexporte[Konto],B78)</f>
        <v>0</v>
      </c>
      <c r="AB78" s="22">
        <f t="shared" si="36"/>
        <v>0</v>
      </c>
      <c r="AC78" s="15">
        <f>SUMIFS(Monatsexporte[Saldo],Monatsexporte[Jahr],$B$4,Monatsexporte[Monat],8,Monatsexporte[Konto],B78)</f>
        <v>0</v>
      </c>
      <c r="AD78" s="15">
        <f>SUMIFS(Monatsexporte[Saldo],Monatsexporte[Jahr],$B$5,Monatsexporte[Monat],8,Monatsexporte[Konto],B78)</f>
        <v>0</v>
      </c>
      <c r="AE78" s="22">
        <f t="shared" si="37"/>
        <v>0</v>
      </c>
      <c r="AF78" s="15">
        <f>SUMIFS(Monatsexporte[Saldo],Monatsexporte[Jahr],$B$4,Monatsexporte[Monat],9,Monatsexporte[Konto],B78)</f>
        <v>0</v>
      </c>
      <c r="AG78" s="15">
        <f>SUMIFS(Monatsexporte[Saldo],Monatsexporte[Jahr],$B$5,Monatsexporte[Monat],9,Monatsexporte[Konto],B78)</f>
        <v>0</v>
      </c>
      <c r="AH78" s="22">
        <f t="shared" si="38"/>
        <v>0</v>
      </c>
      <c r="AI78" s="15">
        <f>SUMIFS(Monatsexporte[Saldo],Monatsexporte[Jahr],$B$4,Monatsexporte[Monat],10,Monatsexporte[Konto],B78)</f>
        <v>0</v>
      </c>
      <c r="AJ78" s="15">
        <f>SUMIFS(Monatsexporte[Saldo],Monatsexporte[Jahr],$B$5,Monatsexporte[Monat],10,Monatsexporte[Konto],B78)</f>
        <v>0</v>
      </c>
      <c r="AK78" s="22">
        <f t="shared" si="39"/>
        <v>0</v>
      </c>
      <c r="AL78" s="15">
        <f>SUMIFS(Monatsexporte[Saldo],Monatsexporte[Jahr],$B$4,Monatsexporte[Monat],11,Monatsexporte[Konto],B78)</f>
        <v>0</v>
      </c>
      <c r="AM78" s="15">
        <f>SUMIFS(Monatsexporte[Saldo],Monatsexporte[Jahr],$B$5,Monatsexporte[Monat],11,Monatsexporte[Konto],B78)</f>
        <v>0</v>
      </c>
      <c r="AN78" s="22">
        <f t="shared" si="40"/>
        <v>0</v>
      </c>
      <c r="AO78" s="15">
        <f>SUMIFS(Monatsexporte[Saldo],Monatsexporte[Jahr],$B$4,Monatsexporte[Monat],12,Monatsexporte[Konto],B78)</f>
        <v>0</v>
      </c>
      <c r="AP78" s="15">
        <f>SUMIFS(Monatsexporte[Saldo],Monatsexporte[Jahr],$B$5,Monatsexporte[Monat],12,Monatsexporte[Konto],B78)</f>
        <v>0</v>
      </c>
      <c r="AQ78" s="22">
        <f t="shared" si="41"/>
        <v>0</v>
      </c>
    </row>
    <row r="79" spans="1:43" outlineLevel="1" x14ac:dyDescent="0.45">
      <c r="A79" s="10" t="s">
        <v>469</v>
      </c>
      <c r="B79" s="39">
        <v>690182564</v>
      </c>
      <c r="C79" s="15">
        <v>340</v>
      </c>
      <c r="D79" s="15">
        <f ca="1">SUMIFS(Monatsexporte[Saldo],Monatsexporte[Jahr],$B$4,Monatsexporte[Monat],"&lt;="&amp;$B$8,Monatsexporte[Konto],B79)</f>
        <v>1020.5699999999999</v>
      </c>
      <c r="E79" s="15">
        <f ca="1">SUMIFS(Monatsexporte[Saldo],Monatsexporte[Jahr],$B$5,Monatsexporte[Monat],"&lt;="&amp;$B$8,Monatsexporte[Konto],B79)</f>
        <v>0</v>
      </c>
      <c r="F79" s="15">
        <f t="shared" ca="1" si="28"/>
        <v>1020.5699999999999</v>
      </c>
      <c r="G79" s="22">
        <f t="shared" ca="1" si="29"/>
        <v>0</v>
      </c>
      <c r="H79" s="15">
        <f>SUMIFS(Monatsexporte[Saldo],Monatsexporte[Jahr],$B$4,Monatsexporte[Monat],1,Monatsexporte[Konto],B79)</f>
        <v>0</v>
      </c>
      <c r="I79" s="15">
        <f>SUMIFS(Monatsexporte[Saldo],Monatsexporte[Jahr],$B$5,Monatsexporte[Monat],1,Monatsexporte[Konto],B79)</f>
        <v>0</v>
      </c>
      <c r="J79" s="22">
        <f t="shared" si="30"/>
        <v>0</v>
      </c>
      <c r="K79" s="15">
        <f>SUMIFS(Monatsexporte[Saldo],Monatsexporte[Jahr],$B$4,Monatsexporte[Monat],2,Monatsexporte[Konto],B79)</f>
        <v>0</v>
      </c>
      <c r="L79" s="15">
        <f>SUMIFS(Monatsexporte[Saldo],Monatsexporte[Jahr],$B$5,Monatsexporte[Monat],2,Monatsexporte[Konto],B79)</f>
        <v>0</v>
      </c>
      <c r="M79" s="22">
        <f t="shared" si="31"/>
        <v>0</v>
      </c>
      <c r="N79" s="15">
        <f>SUMIFS(Monatsexporte[Saldo],Monatsexporte[Jahr],$B$4,Monatsexporte[Monat],3,Monatsexporte[Konto],B79)</f>
        <v>340.19</v>
      </c>
      <c r="O79" s="15">
        <f>SUMIFS(Monatsexporte[Saldo],Monatsexporte[Jahr],$B$5,Monatsexporte[Monat],3,Monatsexporte[Konto],B79)</f>
        <v>0</v>
      </c>
      <c r="P79" s="22">
        <f t="shared" si="32"/>
        <v>0</v>
      </c>
      <c r="Q79" s="15">
        <f>SUMIFS(Monatsexporte[Saldo],Monatsexporte[Jahr],$B$4,Monatsexporte[Monat],4,Monatsexporte[Konto],B79)</f>
        <v>340.19</v>
      </c>
      <c r="R79" s="15">
        <f>SUMIFS(Monatsexporte[Saldo],Monatsexporte[Jahr],$B$5,Monatsexporte[Monat],4,Monatsexporte[Konto],B79)</f>
        <v>0</v>
      </c>
      <c r="S79" s="22">
        <f t="shared" si="33"/>
        <v>0</v>
      </c>
      <c r="T79" s="15">
        <f>SUMIFS(Monatsexporte[Saldo],Monatsexporte[Jahr],$B$4,Monatsexporte[Monat],5,Monatsexporte[Konto],B79)</f>
        <v>340.19</v>
      </c>
      <c r="U79" s="15">
        <f>SUMIFS(Monatsexporte[Saldo],Monatsexporte[Jahr],$B$5,Monatsexporte[Monat],5,Monatsexporte[Konto],B79)</f>
        <v>0</v>
      </c>
      <c r="V79" s="22">
        <f t="shared" si="34"/>
        <v>0</v>
      </c>
      <c r="W79" s="15">
        <f>SUMIFS(Monatsexporte[Saldo],Monatsexporte[Jahr],$B$4,Monatsexporte[Monat],6,Monatsexporte[Konto],B79)</f>
        <v>0</v>
      </c>
      <c r="X79" s="15">
        <f>SUMIFS(Monatsexporte[Saldo],Monatsexporte[Jahr],$B$5,Monatsexporte[Monat],6,Monatsexporte[Konto],B79)</f>
        <v>0</v>
      </c>
      <c r="Y79" s="22">
        <f t="shared" si="35"/>
        <v>0</v>
      </c>
      <c r="Z79" s="15">
        <f>SUMIFS(Monatsexporte[Saldo],Monatsexporte[Jahr],$B$4,Monatsexporte[Monat],7,Monatsexporte[Konto],B79)</f>
        <v>0</v>
      </c>
      <c r="AA79" s="15">
        <f>SUMIFS(Monatsexporte[Saldo],Monatsexporte[Jahr],$B$5,Monatsexporte[Monat],7,Monatsexporte[Konto],B79)</f>
        <v>0</v>
      </c>
      <c r="AB79" s="22">
        <f t="shared" si="36"/>
        <v>0</v>
      </c>
      <c r="AC79" s="15">
        <f>SUMIFS(Monatsexporte[Saldo],Monatsexporte[Jahr],$B$4,Monatsexporte[Monat],8,Monatsexporte[Konto],B79)</f>
        <v>0</v>
      </c>
      <c r="AD79" s="15">
        <f>SUMIFS(Monatsexporte[Saldo],Monatsexporte[Jahr],$B$5,Monatsexporte[Monat],8,Monatsexporte[Konto],B79)</f>
        <v>0</v>
      </c>
      <c r="AE79" s="22">
        <f t="shared" si="37"/>
        <v>0</v>
      </c>
      <c r="AF79" s="15">
        <f>SUMIFS(Monatsexporte[Saldo],Monatsexporte[Jahr],$B$4,Monatsexporte[Monat],9,Monatsexporte[Konto],B79)</f>
        <v>0</v>
      </c>
      <c r="AG79" s="15">
        <f>SUMIFS(Monatsexporte[Saldo],Monatsexporte[Jahr],$B$5,Monatsexporte[Monat],9,Monatsexporte[Konto],B79)</f>
        <v>0</v>
      </c>
      <c r="AH79" s="22">
        <f t="shared" si="38"/>
        <v>0</v>
      </c>
      <c r="AI79" s="15">
        <f>SUMIFS(Monatsexporte[Saldo],Monatsexporte[Jahr],$B$4,Monatsexporte[Monat],10,Monatsexporte[Konto],B79)</f>
        <v>0</v>
      </c>
      <c r="AJ79" s="15">
        <f>SUMIFS(Monatsexporte[Saldo],Monatsexporte[Jahr],$B$5,Monatsexporte[Monat],10,Monatsexporte[Konto],B79)</f>
        <v>0</v>
      </c>
      <c r="AK79" s="22">
        <f t="shared" si="39"/>
        <v>0</v>
      </c>
      <c r="AL79" s="15">
        <f>SUMIFS(Monatsexporte[Saldo],Monatsexporte[Jahr],$B$4,Monatsexporte[Monat],11,Monatsexporte[Konto],B79)</f>
        <v>0</v>
      </c>
      <c r="AM79" s="15">
        <f>SUMIFS(Monatsexporte[Saldo],Monatsexporte[Jahr],$B$5,Monatsexporte[Monat],11,Monatsexporte[Konto],B79)</f>
        <v>0</v>
      </c>
      <c r="AN79" s="22">
        <f t="shared" si="40"/>
        <v>0</v>
      </c>
      <c r="AO79" s="15">
        <f>SUMIFS(Monatsexporte[Saldo],Monatsexporte[Jahr],$B$4,Monatsexporte[Monat],12,Monatsexporte[Konto],B79)</f>
        <v>0</v>
      </c>
      <c r="AP79" s="15">
        <f>SUMIFS(Monatsexporte[Saldo],Monatsexporte[Jahr],$B$5,Monatsexporte[Monat],12,Monatsexporte[Konto],B79)</f>
        <v>0</v>
      </c>
      <c r="AQ79" s="22">
        <f t="shared" si="41"/>
        <v>0</v>
      </c>
    </row>
    <row r="80" spans="1:43" outlineLevel="1" x14ac:dyDescent="0.45">
      <c r="A80" s="10" t="s">
        <v>470</v>
      </c>
      <c r="B80" s="39">
        <v>6902110</v>
      </c>
      <c r="C80" s="15">
        <v>17139</v>
      </c>
      <c r="D80" s="15">
        <f ca="1">SUMIFS(Monatsexporte[Saldo],Monatsexporte[Jahr],$B$4,Monatsexporte[Monat],"&lt;="&amp;$B$8,Monatsexporte[Konto],B80)</f>
        <v>51417.66</v>
      </c>
      <c r="E80" s="15">
        <f ca="1">SUMIFS(Monatsexporte[Saldo],Monatsexporte[Jahr],$B$5,Monatsexporte[Monat],"&lt;="&amp;$B$8,Monatsexporte[Konto],B80)</f>
        <v>0</v>
      </c>
      <c r="F80" s="15">
        <f t="shared" ca="1" si="28"/>
        <v>51417.66</v>
      </c>
      <c r="G80" s="22">
        <f t="shared" ca="1" si="29"/>
        <v>0</v>
      </c>
      <c r="H80" s="15">
        <f>SUMIFS(Monatsexporte[Saldo],Monatsexporte[Jahr],$B$4,Monatsexporte[Monat],1,Monatsexporte[Konto],B80)</f>
        <v>0</v>
      </c>
      <c r="I80" s="15">
        <f>SUMIFS(Monatsexporte[Saldo],Monatsexporte[Jahr],$B$5,Monatsexporte[Monat],1,Monatsexporte[Konto],B80)</f>
        <v>0</v>
      </c>
      <c r="J80" s="22">
        <f t="shared" si="30"/>
        <v>0</v>
      </c>
      <c r="K80" s="15">
        <f>SUMIFS(Monatsexporte[Saldo],Monatsexporte[Jahr],$B$4,Monatsexporte[Monat],2,Monatsexporte[Konto],B80)</f>
        <v>0</v>
      </c>
      <c r="L80" s="15">
        <f>SUMIFS(Monatsexporte[Saldo],Monatsexporte[Jahr],$B$5,Monatsexporte[Monat],2,Monatsexporte[Konto],B80)</f>
        <v>0</v>
      </c>
      <c r="M80" s="22">
        <f t="shared" si="31"/>
        <v>0</v>
      </c>
      <c r="N80" s="15">
        <f>SUMIFS(Monatsexporte[Saldo],Monatsexporte[Jahr],$B$4,Monatsexporte[Monat],3,Monatsexporte[Konto],B80)</f>
        <v>17139.22</v>
      </c>
      <c r="O80" s="15">
        <f>SUMIFS(Monatsexporte[Saldo],Monatsexporte[Jahr],$B$5,Monatsexporte[Monat],3,Monatsexporte[Konto],B80)</f>
        <v>0</v>
      </c>
      <c r="P80" s="22">
        <f t="shared" si="32"/>
        <v>0</v>
      </c>
      <c r="Q80" s="15">
        <f>SUMIFS(Monatsexporte[Saldo],Monatsexporte[Jahr],$B$4,Monatsexporte[Monat],4,Monatsexporte[Konto],B80)</f>
        <v>17139.22</v>
      </c>
      <c r="R80" s="15">
        <f>SUMIFS(Monatsexporte[Saldo],Monatsexporte[Jahr],$B$5,Monatsexporte[Monat],4,Monatsexporte[Konto],B80)</f>
        <v>0</v>
      </c>
      <c r="S80" s="22">
        <f t="shared" si="33"/>
        <v>0</v>
      </c>
      <c r="T80" s="15">
        <f>SUMIFS(Monatsexporte[Saldo],Monatsexporte[Jahr],$B$4,Monatsexporte[Monat],5,Monatsexporte[Konto],B80)</f>
        <v>17139.22</v>
      </c>
      <c r="U80" s="15">
        <f>SUMIFS(Monatsexporte[Saldo],Monatsexporte[Jahr],$B$5,Monatsexporte[Monat],5,Monatsexporte[Konto],B80)</f>
        <v>0</v>
      </c>
      <c r="V80" s="22">
        <f t="shared" si="34"/>
        <v>0</v>
      </c>
      <c r="W80" s="15">
        <f>SUMIFS(Monatsexporte[Saldo],Monatsexporte[Jahr],$B$4,Monatsexporte[Monat],6,Monatsexporte[Konto],B80)</f>
        <v>0</v>
      </c>
      <c r="X80" s="15">
        <f>SUMIFS(Monatsexporte[Saldo],Monatsexporte[Jahr],$B$5,Monatsexporte[Monat],6,Monatsexporte[Konto],B80)</f>
        <v>0</v>
      </c>
      <c r="Y80" s="22">
        <f t="shared" si="35"/>
        <v>0</v>
      </c>
      <c r="Z80" s="15">
        <f>SUMIFS(Monatsexporte[Saldo],Monatsexporte[Jahr],$B$4,Monatsexporte[Monat],7,Monatsexporte[Konto],B80)</f>
        <v>0</v>
      </c>
      <c r="AA80" s="15">
        <f>SUMIFS(Monatsexporte[Saldo],Monatsexporte[Jahr],$B$5,Monatsexporte[Monat],7,Monatsexporte[Konto],B80)</f>
        <v>0</v>
      </c>
      <c r="AB80" s="22">
        <f t="shared" si="36"/>
        <v>0</v>
      </c>
      <c r="AC80" s="15">
        <f>SUMIFS(Monatsexporte[Saldo],Monatsexporte[Jahr],$B$4,Monatsexporte[Monat],8,Monatsexporte[Konto],B80)</f>
        <v>0</v>
      </c>
      <c r="AD80" s="15">
        <f>SUMIFS(Monatsexporte[Saldo],Monatsexporte[Jahr],$B$5,Monatsexporte[Monat],8,Monatsexporte[Konto],B80)</f>
        <v>0</v>
      </c>
      <c r="AE80" s="22">
        <f t="shared" si="37"/>
        <v>0</v>
      </c>
      <c r="AF80" s="15">
        <f>SUMIFS(Monatsexporte[Saldo],Monatsexporte[Jahr],$B$4,Monatsexporte[Monat],9,Monatsexporte[Konto],B80)</f>
        <v>0</v>
      </c>
      <c r="AG80" s="15">
        <f>SUMIFS(Monatsexporte[Saldo],Monatsexporte[Jahr],$B$5,Monatsexporte[Monat],9,Monatsexporte[Konto],B80)</f>
        <v>0</v>
      </c>
      <c r="AH80" s="22">
        <f t="shared" si="38"/>
        <v>0</v>
      </c>
      <c r="AI80" s="15">
        <f>SUMIFS(Monatsexporte[Saldo],Monatsexporte[Jahr],$B$4,Monatsexporte[Monat],10,Monatsexporte[Konto],B80)</f>
        <v>0</v>
      </c>
      <c r="AJ80" s="15">
        <f>SUMIFS(Monatsexporte[Saldo],Monatsexporte[Jahr],$B$5,Monatsexporte[Monat],10,Monatsexporte[Konto],B80)</f>
        <v>0</v>
      </c>
      <c r="AK80" s="22">
        <f t="shared" si="39"/>
        <v>0</v>
      </c>
      <c r="AL80" s="15">
        <f>SUMIFS(Monatsexporte[Saldo],Monatsexporte[Jahr],$B$4,Monatsexporte[Monat],11,Monatsexporte[Konto],B80)</f>
        <v>0</v>
      </c>
      <c r="AM80" s="15">
        <f>SUMIFS(Monatsexporte[Saldo],Monatsexporte[Jahr],$B$5,Monatsexporte[Monat],11,Monatsexporte[Konto],B80)</f>
        <v>0</v>
      </c>
      <c r="AN80" s="22">
        <f t="shared" si="40"/>
        <v>0</v>
      </c>
      <c r="AO80" s="15">
        <f>SUMIFS(Monatsexporte[Saldo],Monatsexporte[Jahr],$B$4,Monatsexporte[Monat],12,Monatsexporte[Konto],B80)</f>
        <v>0</v>
      </c>
      <c r="AP80" s="15">
        <f>SUMIFS(Monatsexporte[Saldo],Monatsexporte[Jahr],$B$5,Monatsexporte[Monat],12,Monatsexporte[Konto],B80)</f>
        <v>0</v>
      </c>
      <c r="AQ80" s="22">
        <f t="shared" si="41"/>
        <v>0</v>
      </c>
    </row>
    <row r="81" spans="1:43" outlineLevel="1" x14ac:dyDescent="0.45">
      <c r="A81" s="10" t="s">
        <v>471</v>
      </c>
      <c r="B81" s="39">
        <v>6902150</v>
      </c>
      <c r="C81" s="15">
        <v>4183</v>
      </c>
      <c r="D81" s="15">
        <f ca="1">SUMIFS(Monatsexporte[Saldo],Monatsexporte[Jahr],$B$4,Monatsexporte[Monat],"&lt;="&amp;$B$8,Monatsexporte[Konto],B81)</f>
        <v>12547.5</v>
      </c>
      <c r="E81" s="15">
        <f ca="1">SUMIFS(Monatsexporte[Saldo],Monatsexporte[Jahr],$B$5,Monatsexporte[Monat],"&lt;="&amp;$B$8,Monatsexporte[Konto],B81)</f>
        <v>0</v>
      </c>
      <c r="F81" s="15">
        <f t="shared" ca="1" si="28"/>
        <v>12547.5</v>
      </c>
      <c r="G81" s="22">
        <f t="shared" ca="1" si="29"/>
        <v>0</v>
      </c>
      <c r="H81" s="15">
        <f>SUMIFS(Monatsexporte[Saldo],Monatsexporte[Jahr],$B$4,Monatsexporte[Monat],1,Monatsexporte[Konto],B81)</f>
        <v>0</v>
      </c>
      <c r="I81" s="15">
        <f>SUMIFS(Monatsexporte[Saldo],Monatsexporte[Jahr],$B$5,Monatsexporte[Monat],1,Monatsexporte[Konto],B81)</f>
        <v>0</v>
      </c>
      <c r="J81" s="22">
        <f t="shared" si="30"/>
        <v>0</v>
      </c>
      <c r="K81" s="15">
        <f>SUMIFS(Monatsexporte[Saldo],Monatsexporte[Jahr],$B$4,Monatsexporte[Monat],2,Monatsexporte[Konto],B81)</f>
        <v>0</v>
      </c>
      <c r="L81" s="15">
        <f>SUMIFS(Monatsexporte[Saldo],Monatsexporte[Jahr],$B$5,Monatsexporte[Monat],2,Monatsexporte[Konto],B81)</f>
        <v>0</v>
      </c>
      <c r="M81" s="22">
        <f t="shared" si="31"/>
        <v>0</v>
      </c>
      <c r="N81" s="15">
        <f>SUMIFS(Monatsexporte[Saldo],Monatsexporte[Jahr],$B$4,Monatsexporte[Monat],3,Monatsexporte[Konto],B81)</f>
        <v>4182.5</v>
      </c>
      <c r="O81" s="15">
        <f>SUMIFS(Monatsexporte[Saldo],Monatsexporte[Jahr],$B$5,Monatsexporte[Monat],3,Monatsexporte[Konto],B81)</f>
        <v>0</v>
      </c>
      <c r="P81" s="22">
        <f t="shared" si="32"/>
        <v>0</v>
      </c>
      <c r="Q81" s="15">
        <f>SUMIFS(Monatsexporte[Saldo],Monatsexporte[Jahr],$B$4,Monatsexporte[Monat],4,Monatsexporte[Konto],B81)</f>
        <v>4182.5</v>
      </c>
      <c r="R81" s="15">
        <f>SUMIFS(Monatsexporte[Saldo],Monatsexporte[Jahr],$B$5,Monatsexporte[Monat],4,Monatsexporte[Konto],B81)</f>
        <v>0</v>
      </c>
      <c r="S81" s="22">
        <f t="shared" si="33"/>
        <v>0</v>
      </c>
      <c r="T81" s="15">
        <f>SUMIFS(Monatsexporte[Saldo],Monatsexporte[Jahr],$B$4,Monatsexporte[Monat],5,Monatsexporte[Konto],B81)</f>
        <v>4182.5</v>
      </c>
      <c r="U81" s="15">
        <f>SUMIFS(Monatsexporte[Saldo],Monatsexporte[Jahr],$B$5,Monatsexporte[Monat],5,Monatsexporte[Konto],B81)</f>
        <v>0</v>
      </c>
      <c r="V81" s="22">
        <f t="shared" si="34"/>
        <v>0</v>
      </c>
      <c r="W81" s="15">
        <f>SUMIFS(Monatsexporte[Saldo],Monatsexporte[Jahr],$B$4,Monatsexporte[Monat],6,Monatsexporte[Konto],B81)</f>
        <v>0</v>
      </c>
      <c r="X81" s="15">
        <f>SUMIFS(Monatsexporte[Saldo],Monatsexporte[Jahr],$B$5,Monatsexporte[Monat],6,Monatsexporte[Konto],B81)</f>
        <v>0</v>
      </c>
      <c r="Y81" s="22">
        <f t="shared" si="35"/>
        <v>0</v>
      </c>
      <c r="Z81" s="15">
        <f>SUMIFS(Monatsexporte[Saldo],Monatsexporte[Jahr],$B$4,Monatsexporte[Monat],7,Monatsexporte[Konto],B81)</f>
        <v>0</v>
      </c>
      <c r="AA81" s="15">
        <f>SUMIFS(Monatsexporte[Saldo],Monatsexporte[Jahr],$B$5,Monatsexporte[Monat],7,Monatsexporte[Konto],B81)</f>
        <v>0</v>
      </c>
      <c r="AB81" s="22">
        <f t="shared" si="36"/>
        <v>0</v>
      </c>
      <c r="AC81" s="15">
        <f>SUMIFS(Monatsexporte[Saldo],Monatsexporte[Jahr],$B$4,Monatsexporte[Monat],8,Monatsexporte[Konto],B81)</f>
        <v>0</v>
      </c>
      <c r="AD81" s="15">
        <f>SUMIFS(Monatsexporte[Saldo],Monatsexporte[Jahr],$B$5,Monatsexporte[Monat],8,Monatsexporte[Konto],B81)</f>
        <v>0</v>
      </c>
      <c r="AE81" s="22">
        <f t="shared" si="37"/>
        <v>0</v>
      </c>
      <c r="AF81" s="15">
        <f>SUMIFS(Monatsexporte[Saldo],Monatsexporte[Jahr],$B$4,Monatsexporte[Monat],9,Monatsexporte[Konto],B81)</f>
        <v>0</v>
      </c>
      <c r="AG81" s="15">
        <f>SUMIFS(Monatsexporte[Saldo],Monatsexporte[Jahr],$B$5,Monatsexporte[Monat],9,Monatsexporte[Konto],B81)</f>
        <v>0</v>
      </c>
      <c r="AH81" s="22">
        <f t="shared" si="38"/>
        <v>0</v>
      </c>
      <c r="AI81" s="15">
        <f>SUMIFS(Monatsexporte[Saldo],Monatsexporte[Jahr],$B$4,Monatsexporte[Monat],10,Monatsexporte[Konto],B81)</f>
        <v>0</v>
      </c>
      <c r="AJ81" s="15">
        <f>SUMIFS(Monatsexporte[Saldo],Monatsexporte[Jahr],$B$5,Monatsexporte[Monat],10,Monatsexporte[Konto],B81)</f>
        <v>0</v>
      </c>
      <c r="AK81" s="22">
        <f t="shared" si="39"/>
        <v>0</v>
      </c>
      <c r="AL81" s="15">
        <f>SUMIFS(Monatsexporte[Saldo],Monatsexporte[Jahr],$B$4,Monatsexporte[Monat],11,Monatsexporte[Konto],B81)</f>
        <v>0</v>
      </c>
      <c r="AM81" s="15">
        <f>SUMIFS(Monatsexporte[Saldo],Monatsexporte[Jahr],$B$5,Monatsexporte[Monat],11,Monatsexporte[Konto],B81)</f>
        <v>0</v>
      </c>
      <c r="AN81" s="22">
        <f t="shared" si="40"/>
        <v>0</v>
      </c>
      <c r="AO81" s="15">
        <f>SUMIFS(Monatsexporte[Saldo],Monatsexporte[Jahr],$B$4,Monatsexporte[Monat],12,Monatsexporte[Konto],B81)</f>
        <v>0</v>
      </c>
      <c r="AP81" s="15">
        <f>SUMIFS(Monatsexporte[Saldo],Monatsexporte[Jahr],$B$5,Monatsexporte[Monat],12,Monatsexporte[Konto],B81)</f>
        <v>0</v>
      </c>
      <c r="AQ81" s="22">
        <f t="shared" si="41"/>
        <v>0</v>
      </c>
    </row>
    <row r="82" spans="1:43" outlineLevel="1" x14ac:dyDescent="0.45">
      <c r="A82" s="10" t="s">
        <v>472</v>
      </c>
      <c r="B82" s="39">
        <v>6902152</v>
      </c>
      <c r="C82" s="15">
        <v>971</v>
      </c>
      <c r="D82" s="15">
        <f ca="1">SUMIFS(Monatsexporte[Saldo],Monatsexporte[Jahr],$B$4,Monatsexporte[Monat],"&lt;="&amp;$B$8,Monatsexporte[Konto],B82)</f>
        <v>2912.88</v>
      </c>
      <c r="E82" s="15">
        <f ca="1">SUMIFS(Monatsexporte[Saldo],Monatsexporte[Jahr],$B$5,Monatsexporte[Monat],"&lt;="&amp;$B$8,Monatsexporte[Konto],B82)</f>
        <v>0</v>
      </c>
      <c r="F82" s="15">
        <f t="shared" ca="1" si="28"/>
        <v>2912.88</v>
      </c>
      <c r="G82" s="22">
        <f t="shared" ca="1" si="29"/>
        <v>0</v>
      </c>
      <c r="H82" s="15">
        <f>SUMIFS(Monatsexporte[Saldo],Monatsexporte[Jahr],$B$4,Monatsexporte[Monat],1,Monatsexporte[Konto],B82)</f>
        <v>0</v>
      </c>
      <c r="I82" s="15">
        <f>SUMIFS(Monatsexporte[Saldo],Monatsexporte[Jahr],$B$5,Monatsexporte[Monat],1,Monatsexporte[Konto],B82)</f>
        <v>0</v>
      </c>
      <c r="J82" s="22">
        <f t="shared" si="30"/>
        <v>0</v>
      </c>
      <c r="K82" s="15">
        <f>SUMIFS(Monatsexporte[Saldo],Monatsexporte[Jahr],$B$4,Monatsexporte[Monat],2,Monatsexporte[Konto],B82)</f>
        <v>0</v>
      </c>
      <c r="L82" s="15">
        <f>SUMIFS(Monatsexporte[Saldo],Monatsexporte[Jahr],$B$5,Monatsexporte[Monat],2,Monatsexporte[Konto],B82)</f>
        <v>0</v>
      </c>
      <c r="M82" s="22">
        <f t="shared" si="31"/>
        <v>0</v>
      </c>
      <c r="N82" s="15">
        <f>SUMIFS(Monatsexporte[Saldo],Monatsexporte[Jahr],$B$4,Monatsexporte[Monat],3,Monatsexporte[Konto],B82)</f>
        <v>970.96</v>
      </c>
      <c r="O82" s="15">
        <f>SUMIFS(Monatsexporte[Saldo],Monatsexporte[Jahr],$B$5,Monatsexporte[Monat],3,Monatsexporte[Konto],B82)</f>
        <v>0</v>
      </c>
      <c r="P82" s="22">
        <f t="shared" si="32"/>
        <v>0</v>
      </c>
      <c r="Q82" s="15">
        <f>SUMIFS(Monatsexporte[Saldo],Monatsexporte[Jahr],$B$4,Monatsexporte[Monat],4,Monatsexporte[Konto],B82)</f>
        <v>970.96</v>
      </c>
      <c r="R82" s="15">
        <f>SUMIFS(Monatsexporte[Saldo],Monatsexporte[Jahr],$B$5,Monatsexporte[Monat],4,Monatsexporte[Konto],B82)</f>
        <v>0</v>
      </c>
      <c r="S82" s="22">
        <f t="shared" si="33"/>
        <v>0</v>
      </c>
      <c r="T82" s="15">
        <f>SUMIFS(Monatsexporte[Saldo],Monatsexporte[Jahr],$B$4,Monatsexporte[Monat],5,Monatsexporte[Konto],B82)</f>
        <v>970.96</v>
      </c>
      <c r="U82" s="15">
        <f>SUMIFS(Monatsexporte[Saldo],Monatsexporte[Jahr],$B$5,Monatsexporte[Monat],5,Monatsexporte[Konto],B82)</f>
        <v>0</v>
      </c>
      <c r="V82" s="22">
        <f t="shared" si="34"/>
        <v>0</v>
      </c>
      <c r="W82" s="15">
        <f>SUMIFS(Monatsexporte[Saldo],Monatsexporte[Jahr],$B$4,Monatsexporte[Monat],6,Monatsexporte[Konto],B82)</f>
        <v>0</v>
      </c>
      <c r="X82" s="15">
        <f>SUMIFS(Monatsexporte[Saldo],Monatsexporte[Jahr],$B$5,Monatsexporte[Monat],6,Monatsexporte[Konto],B82)</f>
        <v>0</v>
      </c>
      <c r="Y82" s="22">
        <f t="shared" si="35"/>
        <v>0</v>
      </c>
      <c r="Z82" s="15">
        <f>SUMIFS(Monatsexporte[Saldo],Monatsexporte[Jahr],$B$4,Monatsexporte[Monat],7,Monatsexporte[Konto],B82)</f>
        <v>0</v>
      </c>
      <c r="AA82" s="15">
        <f>SUMIFS(Monatsexporte[Saldo],Monatsexporte[Jahr],$B$5,Monatsexporte[Monat],7,Monatsexporte[Konto],B82)</f>
        <v>0</v>
      </c>
      <c r="AB82" s="22">
        <f t="shared" si="36"/>
        <v>0</v>
      </c>
      <c r="AC82" s="15">
        <f>SUMIFS(Monatsexporte[Saldo],Monatsexporte[Jahr],$B$4,Monatsexporte[Monat],8,Monatsexporte[Konto],B82)</f>
        <v>0</v>
      </c>
      <c r="AD82" s="15">
        <f>SUMIFS(Monatsexporte[Saldo],Monatsexporte[Jahr],$B$5,Monatsexporte[Monat],8,Monatsexporte[Konto],B82)</f>
        <v>0</v>
      </c>
      <c r="AE82" s="22">
        <f t="shared" si="37"/>
        <v>0</v>
      </c>
      <c r="AF82" s="15">
        <f>SUMIFS(Monatsexporte[Saldo],Monatsexporte[Jahr],$B$4,Monatsexporte[Monat],9,Monatsexporte[Konto],B82)</f>
        <v>0</v>
      </c>
      <c r="AG82" s="15">
        <f>SUMIFS(Monatsexporte[Saldo],Monatsexporte[Jahr],$B$5,Monatsexporte[Monat],9,Monatsexporte[Konto],B82)</f>
        <v>0</v>
      </c>
      <c r="AH82" s="22">
        <f t="shared" si="38"/>
        <v>0</v>
      </c>
      <c r="AI82" s="15">
        <f>SUMIFS(Monatsexporte[Saldo],Monatsexporte[Jahr],$B$4,Monatsexporte[Monat],10,Monatsexporte[Konto],B82)</f>
        <v>0</v>
      </c>
      <c r="AJ82" s="15">
        <f>SUMIFS(Monatsexporte[Saldo],Monatsexporte[Jahr],$B$5,Monatsexporte[Monat],10,Monatsexporte[Konto],B82)</f>
        <v>0</v>
      </c>
      <c r="AK82" s="22">
        <f t="shared" si="39"/>
        <v>0</v>
      </c>
      <c r="AL82" s="15">
        <f>SUMIFS(Monatsexporte[Saldo],Monatsexporte[Jahr],$B$4,Monatsexporte[Monat],11,Monatsexporte[Konto],B82)</f>
        <v>0</v>
      </c>
      <c r="AM82" s="15">
        <f>SUMIFS(Monatsexporte[Saldo],Monatsexporte[Jahr],$B$5,Monatsexporte[Monat],11,Monatsexporte[Konto],B82)</f>
        <v>0</v>
      </c>
      <c r="AN82" s="22">
        <f t="shared" si="40"/>
        <v>0</v>
      </c>
      <c r="AO82" s="15">
        <f>SUMIFS(Monatsexporte[Saldo],Monatsexporte[Jahr],$B$4,Monatsexporte[Monat],12,Monatsexporte[Konto],B82)</f>
        <v>0</v>
      </c>
      <c r="AP82" s="15">
        <f>SUMIFS(Monatsexporte[Saldo],Monatsexporte[Jahr],$B$5,Monatsexporte[Monat],12,Monatsexporte[Konto],B82)</f>
        <v>0</v>
      </c>
      <c r="AQ82" s="22">
        <f t="shared" si="41"/>
        <v>0</v>
      </c>
    </row>
    <row r="83" spans="1:43" outlineLevel="1" x14ac:dyDescent="0.45">
      <c r="A83" s="10" t="s">
        <v>473</v>
      </c>
      <c r="B83" s="39">
        <v>6902153</v>
      </c>
      <c r="C83" s="15">
        <v>2622</v>
      </c>
      <c r="D83" s="15">
        <f ca="1">SUMIFS(Monatsexporte[Saldo],Monatsexporte[Jahr],$B$4,Monatsexporte[Monat],"&lt;="&amp;$B$8,Monatsexporte[Konto],B83)</f>
        <v>7866</v>
      </c>
      <c r="E83" s="15">
        <f ca="1">SUMIFS(Monatsexporte[Saldo],Monatsexporte[Jahr],$B$5,Monatsexporte[Monat],"&lt;="&amp;$B$8,Monatsexporte[Konto],B83)</f>
        <v>0</v>
      </c>
      <c r="F83" s="15">
        <f t="shared" ca="1" si="28"/>
        <v>7866</v>
      </c>
      <c r="G83" s="22">
        <f t="shared" ca="1" si="29"/>
        <v>0</v>
      </c>
      <c r="H83" s="15">
        <f>SUMIFS(Monatsexporte[Saldo],Monatsexporte[Jahr],$B$4,Monatsexporte[Monat],1,Monatsexporte[Konto],B83)</f>
        <v>0</v>
      </c>
      <c r="I83" s="15">
        <f>SUMIFS(Monatsexporte[Saldo],Monatsexporte[Jahr],$B$5,Monatsexporte[Monat],1,Monatsexporte[Konto],B83)</f>
        <v>0</v>
      </c>
      <c r="J83" s="22">
        <f t="shared" si="30"/>
        <v>0</v>
      </c>
      <c r="K83" s="15">
        <f>SUMIFS(Monatsexporte[Saldo],Monatsexporte[Jahr],$B$4,Monatsexporte[Monat],2,Monatsexporte[Konto],B83)</f>
        <v>0</v>
      </c>
      <c r="L83" s="15">
        <f>SUMIFS(Monatsexporte[Saldo],Monatsexporte[Jahr],$B$5,Monatsexporte[Monat],2,Monatsexporte[Konto],B83)</f>
        <v>0</v>
      </c>
      <c r="M83" s="22">
        <f t="shared" si="31"/>
        <v>0</v>
      </c>
      <c r="N83" s="15">
        <f>SUMIFS(Monatsexporte[Saldo],Monatsexporte[Jahr],$B$4,Monatsexporte[Monat],3,Monatsexporte[Konto],B83)</f>
        <v>2622</v>
      </c>
      <c r="O83" s="15">
        <f>SUMIFS(Monatsexporte[Saldo],Monatsexporte[Jahr],$B$5,Monatsexporte[Monat],3,Monatsexporte[Konto],B83)</f>
        <v>0</v>
      </c>
      <c r="P83" s="22">
        <f t="shared" si="32"/>
        <v>0</v>
      </c>
      <c r="Q83" s="15">
        <f>SUMIFS(Monatsexporte[Saldo],Monatsexporte[Jahr],$B$4,Monatsexporte[Monat],4,Monatsexporte[Konto],B83)</f>
        <v>2622</v>
      </c>
      <c r="R83" s="15">
        <f>SUMIFS(Monatsexporte[Saldo],Monatsexporte[Jahr],$B$5,Monatsexporte[Monat],4,Monatsexporte[Konto],B83)</f>
        <v>0</v>
      </c>
      <c r="S83" s="22">
        <f t="shared" si="33"/>
        <v>0</v>
      </c>
      <c r="T83" s="15">
        <f>SUMIFS(Monatsexporte[Saldo],Monatsexporte[Jahr],$B$4,Monatsexporte[Monat],5,Monatsexporte[Konto],B83)</f>
        <v>2622</v>
      </c>
      <c r="U83" s="15">
        <f>SUMIFS(Monatsexporte[Saldo],Monatsexporte[Jahr],$B$5,Monatsexporte[Monat],5,Monatsexporte[Konto],B83)</f>
        <v>0</v>
      </c>
      <c r="V83" s="22">
        <f t="shared" si="34"/>
        <v>0</v>
      </c>
      <c r="W83" s="15">
        <f>SUMIFS(Monatsexporte[Saldo],Monatsexporte[Jahr],$B$4,Monatsexporte[Monat],6,Monatsexporte[Konto],B83)</f>
        <v>0</v>
      </c>
      <c r="X83" s="15">
        <f>SUMIFS(Monatsexporte[Saldo],Monatsexporte[Jahr],$B$5,Monatsexporte[Monat],6,Monatsexporte[Konto],B83)</f>
        <v>0</v>
      </c>
      <c r="Y83" s="22">
        <f t="shared" si="35"/>
        <v>0</v>
      </c>
      <c r="Z83" s="15">
        <f>SUMIFS(Monatsexporte[Saldo],Monatsexporte[Jahr],$B$4,Monatsexporte[Monat],7,Monatsexporte[Konto],B83)</f>
        <v>0</v>
      </c>
      <c r="AA83" s="15">
        <f>SUMIFS(Monatsexporte[Saldo],Monatsexporte[Jahr],$B$5,Monatsexporte[Monat],7,Monatsexporte[Konto],B83)</f>
        <v>0</v>
      </c>
      <c r="AB83" s="22">
        <f t="shared" si="36"/>
        <v>0</v>
      </c>
      <c r="AC83" s="15">
        <f>SUMIFS(Monatsexporte[Saldo],Monatsexporte[Jahr],$B$4,Monatsexporte[Monat],8,Monatsexporte[Konto],B83)</f>
        <v>0</v>
      </c>
      <c r="AD83" s="15">
        <f>SUMIFS(Monatsexporte[Saldo],Monatsexporte[Jahr],$B$5,Monatsexporte[Monat],8,Monatsexporte[Konto],B83)</f>
        <v>0</v>
      </c>
      <c r="AE83" s="22">
        <f t="shared" si="37"/>
        <v>0</v>
      </c>
      <c r="AF83" s="15">
        <f>SUMIFS(Monatsexporte[Saldo],Monatsexporte[Jahr],$B$4,Monatsexporte[Monat],9,Monatsexporte[Konto],B83)</f>
        <v>0</v>
      </c>
      <c r="AG83" s="15">
        <f>SUMIFS(Monatsexporte[Saldo],Monatsexporte[Jahr],$B$5,Monatsexporte[Monat],9,Monatsexporte[Konto],B83)</f>
        <v>0</v>
      </c>
      <c r="AH83" s="22">
        <f t="shared" si="38"/>
        <v>0</v>
      </c>
      <c r="AI83" s="15">
        <f>SUMIFS(Monatsexporte[Saldo],Monatsexporte[Jahr],$B$4,Monatsexporte[Monat],10,Monatsexporte[Konto],B83)</f>
        <v>0</v>
      </c>
      <c r="AJ83" s="15">
        <f>SUMIFS(Monatsexporte[Saldo],Monatsexporte[Jahr],$B$5,Monatsexporte[Monat],10,Monatsexporte[Konto],B83)</f>
        <v>0</v>
      </c>
      <c r="AK83" s="22">
        <f t="shared" si="39"/>
        <v>0</v>
      </c>
      <c r="AL83" s="15">
        <f>SUMIFS(Monatsexporte[Saldo],Monatsexporte[Jahr],$B$4,Monatsexporte[Monat],11,Monatsexporte[Konto],B83)</f>
        <v>0</v>
      </c>
      <c r="AM83" s="15">
        <f>SUMIFS(Monatsexporte[Saldo],Monatsexporte[Jahr],$B$5,Monatsexporte[Monat],11,Monatsexporte[Konto],B83)</f>
        <v>0</v>
      </c>
      <c r="AN83" s="22">
        <f t="shared" si="40"/>
        <v>0</v>
      </c>
      <c r="AO83" s="15">
        <f>SUMIFS(Monatsexporte[Saldo],Monatsexporte[Jahr],$B$4,Monatsexporte[Monat],12,Monatsexporte[Konto],B83)</f>
        <v>0</v>
      </c>
      <c r="AP83" s="15">
        <f>SUMIFS(Monatsexporte[Saldo],Monatsexporte[Jahr],$B$5,Monatsexporte[Monat],12,Monatsexporte[Konto],B83)</f>
        <v>0</v>
      </c>
      <c r="AQ83" s="22">
        <f t="shared" si="41"/>
        <v>0</v>
      </c>
    </row>
    <row r="84" spans="1:43" outlineLevel="1" x14ac:dyDescent="0.45">
      <c r="A84" s="10" t="s">
        <v>474</v>
      </c>
      <c r="B84" s="39">
        <v>7601510</v>
      </c>
      <c r="C84" s="15">
        <v>1958</v>
      </c>
      <c r="D84" s="15">
        <f ca="1">SUMIFS(Monatsexporte[Saldo],Monatsexporte[Jahr],$B$4,Monatsexporte[Monat],"&lt;="&amp;$B$8,Monatsexporte[Konto],B84)</f>
        <v>5874</v>
      </c>
      <c r="E84" s="15">
        <f ca="1">SUMIFS(Monatsexporte[Saldo],Monatsexporte[Jahr],$B$5,Monatsexporte[Monat],"&lt;="&amp;$B$8,Monatsexporte[Konto],B84)</f>
        <v>0</v>
      </c>
      <c r="F84" s="15">
        <f t="shared" ca="1" si="28"/>
        <v>5874</v>
      </c>
      <c r="G84" s="22">
        <f t="shared" ca="1" si="29"/>
        <v>0</v>
      </c>
      <c r="H84" s="15">
        <f>SUMIFS(Monatsexporte[Saldo],Monatsexporte[Jahr],$B$4,Monatsexporte[Monat],1,Monatsexporte[Konto],B84)</f>
        <v>0</v>
      </c>
      <c r="I84" s="15">
        <f>SUMIFS(Monatsexporte[Saldo],Monatsexporte[Jahr],$B$5,Monatsexporte[Monat],1,Monatsexporte[Konto],B84)</f>
        <v>0</v>
      </c>
      <c r="J84" s="22">
        <f t="shared" si="30"/>
        <v>0</v>
      </c>
      <c r="K84" s="15">
        <f>SUMIFS(Monatsexporte[Saldo],Monatsexporte[Jahr],$B$4,Monatsexporte[Monat],2,Monatsexporte[Konto],B84)</f>
        <v>0</v>
      </c>
      <c r="L84" s="15">
        <f>SUMIFS(Monatsexporte[Saldo],Monatsexporte[Jahr],$B$5,Monatsexporte[Monat],2,Monatsexporte[Konto],B84)</f>
        <v>0</v>
      </c>
      <c r="M84" s="22">
        <f t="shared" si="31"/>
        <v>0</v>
      </c>
      <c r="N84" s="15">
        <f>SUMIFS(Monatsexporte[Saldo],Monatsexporte[Jahr],$B$4,Monatsexporte[Monat],3,Monatsexporte[Konto],B84)</f>
        <v>1958</v>
      </c>
      <c r="O84" s="15">
        <f>SUMIFS(Monatsexporte[Saldo],Monatsexporte[Jahr],$B$5,Monatsexporte[Monat],3,Monatsexporte[Konto],B84)</f>
        <v>0</v>
      </c>
      <c r="P84" s="22">
        <f t="shared" si="32"/>
        <v>0</v>
      </c>
      <c r="Q84" s="15">
        <f>SUMIFS(Monatsexporte[Saldo],Monatsexporte[Jahr],$B$4,Monatsexporte[Monat],4,Monatsexporte[Konto],B84)</f>
        <v>1958</v>
      </c>
      <c r="R84" s="15">
        <f>SUMIFS(Monatsexporte[Saldo],Monatsexporte[Jahr],$B$5,Monatsexporte[Monat],4,Monatsexporte[Konto],B84)</f>
        <v>0</v>
      </c>
      <c r="S84" s="22">
        <f t="shared" si="33"/>
        <v>0</v>
      </c>
      <c r="T84" s="15">
        <f>SUMIFS(Monatsexporte[Saldo],Monatsexporte[Jahr],$B$4,Monatsexporte[Monat],5,Monatsexporte[Konto],B84)</f>
        <v>1958</v>
      </c>
      <c r="U84" s="15">
        <f>SUMIFS(Monatsexporte[Saldo],Monatsexporte[Jahr],$B$5,Monatsexporte[Monat],5,Monatsexporte[Konto],B84)</f>
        <v>0</v>
      </c>
      <c r="V84" s="22">
        <f t="shared" si="34"/>
        <v>0</v>
      </c>
      <c r="W84" s="15">
        <f>SUMIFS(Monatsexporte[Saldo],Monatsexporte[Jahr],$B$4,Monatsexporte[Monat],6,Monatsexporte[Konto],B84)</f>
        <v>0</v>
      </c>
      <c r="X84" s="15">
        <f>SUMIFS(Monatsexporte[Saldo],Monatsexporte[Jahr],$B$5,Monatsexporte[Monat],6,Monatsexporte[Konto],B84)</f>
        <v>0</v>
      </c>
      <c r="Y84" s="22">
        <f t="shared" si="35"/>
        <v>0</v>
      </c>
      <c r="Z84" s="15">
        <f>SUMIFS(Monatsexporte[Saldo],Monatsexporte[Jahr],$B$4,Monatsexporte[Monat],7,Monatsexporte[Konto],B84)</f>
        <v>0</v>
      </c>
      <c r="AA84" s="15">
        <f>SUMIFS(Monatsexporte[Saldo],Monatsexporte[Jahr],$B$5,Monatsexporte[Monat],7,Monatsexporte[Konto],B84)</f>
        <v>0</v>
      </c>
      <c r="AB84" s="22">
        <f t="shared" si="36"/>
        <v>0</v>
      </c>
      <c r="AC84" s="15">
        <f>SUMIFS(Monatsexporte[Saldo],Monatsexporte[Jahr],$B$4,Monatsexporte[Monat],8,Monatsexporte[Konto],B84)</f>
        <v>0</v>
      </c>
      <c r="AD84" s="15">
        <f>SUMIFS(Monatsexporte[Saldo],Monatsexporte[Jahr],$B$5,Monatsexporte[Monat],8,Monatsexporte[Konto],B84)</f>
        <v>0</v>
      </c>
      <c r="AE84" s="22">
        <f t="shared" si="37"/>
        <v>0</v>
      </c>
      <c r="AF84" s="15">
        <f>SUMIFS(Monatsexporte[Saldo],Monatsexporte[Jahr],$B$4,Monatsexporte[Monat],9,Monatsexporte[Konto],B84)</f>
        <v>0</v>
      </c>
      <c r="AG84" s="15">
        <f>SUMIFS(Monatsexporte[Saldo],Monatsexporte[Jahr],$B$5,Monatsexporte[Monat],9,Monatsexporte[Konto],B84)</f>
        <v>0</v>
      </c>
      <c r="AH84" s="22">
        <f t="shared" si="38"/>
        <v>0</v>
      </c>
      <c r="AI84" s="15">
        <f>SUMIFS(Monatsexporte[Saldo],Monatsexporte[Jahr],$B$4,Monatsexporte[Monat],10,Monatsexporte[Konto],B84)</f>
        <v>0</v>
      </c>
      <c r="AJ84" s="15">
        <f>SUMIFS(Monatsexporte[Saldo],Monatsexporte[Jahr],$B$5,Monatsexporte[Monat],10,Monatsexporte[Konto],B84)</f>
        <v>0</v>
      </c>
      <c r="AK84" s="22">
        <f t="shared" si="39"/>
        <v>0</v>
      </c>
      <c r="AL84" s="15">
        <f>SUMIFS(Monatsexporte[Saldo],Monatsexporte[Jahr],$B$4,Monatsexporte[Monat],11,Monatsexporte[Konto],B84)</f>
        <v>0</v>
      </c>
      <c r="AM84" s="15">
        <f>SUMIFS(Monatsexporte[Saldo],Monatsexporte[Jahr],$B$5,Monatsexporte[Monat],11,Monatsexporte[Konto],B84)</f>
        <v>0</v>
      </c>
      <c r="AN84" s="22">
        <f t="shared" si="40"/>
        <v>0</v>
      </c>
      <c r="AO84" s="15">
        <f>SUMIFS(Monatsexporte[Saldo],Monatsexporte[Jahr],$B$4,Monatsexporte[Monat],12,Monatsexporte[Konto],B84)</f>
        <v>0</v>
      </c>
      <c r="AP84" s="15">
        <f>SUMIFS(Monatsexporte[Saldo],Monatsexporte[Jahr],$B$5,Monatsexporte[Monat],12,Monatsexporte[Konto],B84)</f>
        <v>0</v>
      </c>
      <c r="AQ84" s="22">
        <f t="shared" si="41"/>
        <v>0</v>
      </c>
    </row>
    <row r="85" spans="1:43" outlineLevel="1" x14ac:dyDescent="0.45">
      <c r="A85" s="10" t="s">
        <v>475</v>
      </c>
      <c r="B85" s="39">
        <v>7601520</v>
      </c>
      <c r="C85" s="15">
        <v>1246</v>
      </c>
      <c r="D85" s="15">
        <f ca="1">SUMIFS(Monatsexporte[Saldo],Monatsexporte[Jahr],$B$4,Monatsexporte[Monat],"&lt;="&amp;$B$8,Monatsexporte[Konto],B85)</f>
        <v>3738.51</v>
      </c>
      <c r="E85" s="15">
        <f ca="1">SUMIFS(Monatsexporte[Saldo],Monatsexporte[Jahr],$B$5,Monatsexporte[Monat],"&lt;="&amp;$B$8,Monatsexporte[Konto],B85)</f>
        <v>0</v>
      </c>
      <c r="F85" s="15">
        <f t="shared" ca="1" si="28"/>
        <v>3738.51</v>
      </c>
      <c r="G85" s="22">
        <f t="shared" ca="1" si="29"/>
        <v>0</v>
      </c>
      <c r="H85" s="15">
        <f>SUMIFS(Monatsexporte[Saldo],Monatsexporte[Jahr],$B$4,Monatsexporte[Monat],1,Monatsexporte[Konto],B85)</f>
        <v>0</v>
      </c>
      <c r="I85" s="15">
        <f>SUMIFS(Monatsexporte[Saldo],Monatsexporte[Jahr],$B$5,Monatsexporte[Monat],1,Monatsexporte[Konto],B85)</f>
        <v>0</v>
      </c>
      <c r="J85" s="22">
        <f t="shared" si="30"/>
        <v>0</v>
      </c>
      <c r="K85" s="15">
        <f>SUMIFS(Monatsexporte[Saldo],Monatsexporte[Jahr],$B$4,Monatsexporte[Monat],2,Monatsexporte[Konto],B85)</f>
        <v>0</v>
      </c>
      <c r="L85" s="15">
        <f>SUMIFS(Monatsexporte[Saldo],Monatsexporte[Jahr],$B$5,Monatsexporte[Monat],2,Monatsexporte[Konto],B85)</f>
        <v>0</v>
      </c>
      <c r="M85" s="22">
        <f t="shared" si="31"/>
        <v>0</v>
      </c>
      <c r="N85" s="15">
        <f>SUMIFS(Monatsexporte[Saldo],Monatsexporte[Jahr],$B$4,Monatsexporte[Monat],3,Monatsexporte[Konto],B85)</f>
        <v>1246.17</v>
      </c>
      <c r="O85" s="15">
        <f>SUMIFS(Monatsexporte[Saldo],Monatsexporte[Jahr],$B$5,Monatsexporte[Monat],3,Monatsexporte[Konto],B85)</f>
        <v>0</v>
      </c>
      <c r="P85" s="22">
        <f t="shared" si="32"/>
        <v>0</v>
      </c>
      <c r="Q85" s="15">
        <f>SUMIFS(Monatsexporte[Saldo],Monatsexporte[Jahr],$B$4,Monatsexporte[Monat],4,Monatsexporte[Konto],B85)</f>
        <v>1246.17</v>
      </c>
      <c r="R85" s="15">
        <f>SUMIFS(Monatsexporte[Saldo],Monatsexporte[Jahr],$B$5,Monatsexporte[Monat],4,Monatsexporte[Konto],B85)</f>
        <v>0</v>
      </c>
      <c r="S85" s="22">
        <f t="shared" si="33"/>
        <v>0</v>
      </c>
      <c r="T85" s="15">
        <f>SUMIFS(Monatsexporte[Saldo],Monatsexporte[Jahr],$B$4,Monatsexporte[Monat],5,Monatsexporte[Konto],B85)</f>
        <v>1246.17</v>
      </c>
      <c r="U85" s="15">
        <f>SUMIFS(Monatsexporte[Saldo],Monatsexporte[Jahr],$B$5,Monatsexporte[Monat],5,Monatsexporte[Konto],B85)</f>
        <v>0</v>
      </c>
      <c r="V85" s="22">
        <f t="shared" si="34"/>
        <v>0</v>
      </c>
      <c r="W85" s="15">
        <f>SUMIFS(Monatsexporte[Saldo],Monatsexporte[Jahr],$B$4,Monatsexporte[Monat],6,Monatsexporte[Konto],B85)</f>
        <v>0</v>
      </c>
      <c r="X85" s="15">
        <f>SUMIFS(Monatsexporte[Saldo],Monatsexporte[Jahr],$B$5,Monatsexporte[Monat],6,Monatsexporte[Konto],B85)</f>
        <v>0</v>
      </c>
      <c r="Y85" s="22">
        <f t="shared" si="35"/>
        <v>0</v>
      </c>
      <c r="Z85" s="15">
        <f>SUMIFS(Monatsexporte[Saldo],Monatsexporte[Jahr],$B$4,Monatsexporte[Monat],7,Monatsexporte[Konto],B85)</f>
        <v>0</v>
      </c>
      <c r="AA85" s="15">
        <f>SUMIFS(Monatsexporte[Saldo],Monatsexporte[Jahr],$B$5,Monatsexporte[Monat],7,Monatsexporte[Konto],B85)</f>
        <v>0</v>
      </c>
      <c r="AB85" s="22">
        <f t="shared" si="36"/>
        <v>0</v>
      </c>
      <c r="AC85" s="15">
        <f>SUMIFS(Monatsexporte[Saldo],Monatsexporte[Jahr],$B$4,Monatsexporte[Monat],8,Monatsexporte[Konto],B85)</f>
        <v>0</v>
      </c>
      <c r="AD85" s="15">
        <f>SUMIFS(Monatsexporte[Saldo],Monatsexporte[Jahr],$B$5,Monatsexporte[Monat],8,Monatsexporte[Konto],B85)</f>
        <v>0</v>
      </c>
      <c r="AE85" s="22">
        <f t="shared" si="37"/>
        <v>0</v>
      </c>
      <c r="AF85" s="15">
        <f>SUMIFS(Monatsexporte[Saldo],Monatsexporte[Jahr],$B$4,Monatsexporte[Monat],9,Monatsexporte[Konto],B85)</f>
        <v>0</v>
      </c>
      <c r="AG85" s="15">
        <f>SUMIFS(Monatsexporte[Saldo],Monatsexporte[Jahr],$B$5,Monatsexporte[Monat],9,Monatsexporte[Konto],B85)</f>
        <v>0</v>
      </c>
      <c r="AH85" s="22">
        <f t="shared" si="38"/>
        <v>0</v>
      </c>
      <c r="AI85" s="15">
        <f>SUMIFS(Monatsexporte[Saldo],Monatsexporte[Jahr],$B$4,Monatsexporte[Monat],10,Monatsexporte[Konto],B85)</f>
        <v>0</v>
      </c>
      <c r="AJ85" s="15">
        <f>SUMIFS(Monatsexporte[Saldo],Monatsexporte[Jahr],$B$5,Monatsexporte[Monat],10,Monatsexporte[Konto],B85)</f>
        <v>0</v>
      </c>
      <c r="AK85" s="22">
        <f t="shared" si="39"/>
        <v>0</v>
      </c>
      <c r="AL85" s="15">
        <f>SUMIFS(Monatsexporte[Saldo],Monatsexporte[Jahr],$B$4,Monatsexporte[Monat],11,Monatsexporte[Konto],B85)</f>
        <v>0</v>
      </c>
      <c r="AM85" s="15">
        <f>SUMIFS(Monatsexporte[Saldo],Monatsexporte[Jahr],$B$5,Monatsexporte[Monat],11,Monatsexporte[Konto],B85)</f>
        <v>0</v>
      </c>
      <c r="AN85" s="22">
        <f t="shared" si="40"/>
        <v>0</v>
      </c>
      <c r="AO85" s="15">
        <f>SUMIFS(Monatsexporte[Saldo],Monatsexporte[Jahr],$B$4,Monatsexporte[Monat],12,Monatsexporte[Konto],B85)</f>
        <v>0</v>
      </c>
      <c r="AP85" s="15">
        <f>SUMIFS(Monatsexporte[Saldo],Monatsexporte[Jahr],$B$5,Monatsexporte[Monat],12,Monatsexporte[Konto],B85)</f>
        <v>0</v>
      </c>
      <c r="AQ85" s="22">
        <f t="shared" si="41"/>
        <v>0</v>
      </c>
    </row>
    <row r="86" spans="1:43" x14ac:dyDescent="0.45">
      <c r="A86" s="1" t="s">
        <v>458</v>
      </c>
      <c r="B86" s="39" t="s">
        <v>459</v>
      </c>
      <c r="C86" s="15">
        <f>SUM(C70:C85)</f>
        <v>143901</v>
      </c>
      <c r="D86" s="15">
        <f ca="1">SUM(D70:D85)</f>
        <v>431704.58999999997</v>
      </c>
      <c r="E86" s="15">
        <f ca="1">SUM(E70:E85)</f>
        <v>0</v>
      </c>
      <c r="F86" s="15">
        <f t="shared" ca="1" si="28"/>
        <v>431704.58999999997</v>
      </c>
      <c r="G86" s="22">
        <f t="shared" ca="1" si="29"/>
        <v>0</v>
      </c>
      <c r="H86" s="15">
        <f>SUM(H70:H85)</f>
        <v>0</v>
      </c>
      <c r="I86" s="15">
        <f>SUM(I70:I85)</f>
        <v>0</v>
      </c>
      <c r="J86" s="22">
        <f t="shared" si="30"/>
        <v>0</v>
      </c>
      <c r="K86" s="15">
        <f>SUM(K70:K85)</f>
        <v>0</v>
      </c>
      <c r="L86" s="15">
        <f>SUM(L70:L85)</f>
        <v>0</v>
      </c>
      <c r="M86" s="22">
        <f t="shared" si="31"/>
        <v>0</v>
      </c>
      <c r="N86" s="15">
        <f>SUM(N70:N85)</f>
        <v>143901.53000000003</v>
      </c>
      <c r="O86" s="15">
        <f>SUM(O70:O85)</f>
        <v>0</v>
      </c>
      <c r="P86" s="22">
        <f t="shared" si="32"/>
        <v>0</v>
      </c>
      <c r="Q86" s="15">
        <f>SUM(Q70:Q85)</f>
        <v>143901.53000000003</v>
      </c>
      <c r="R86" s="15">
        <f>SUM(R70:R85)</f>
        <v>0</v>
      </c>
      <c r="S86" s="22">
        <f t="shared" si="33"/>
        <v>0</v>
      </c>
      <c r="T86" s="15">
        <f>SUM(T70:T85)</f>
        <v>143901.53000000003</v>
      </c>
      <c r="U86" s="15">
        <f>SUM(U70:U85)</f>
        <v>0</v>
      </c>
      <c r="V86" s="22">
        <f t="shared" si="34"/>
        <v>0</v>
      </c>
      <c r="W86" s="15">
        <f>SUM(W70:W85)</f>
        <v>0</v>
      </c>
      <c r="X86" s="15">
        <f>SUM(X70:X85)</f>
        <v>0</v>
      </c>
      <c r="Y86" s="22">
        <f t="shared" si="35"/>
        <v>0</v>
      </c>
      <c r="Z86" s="15">
        <f>SUM(Z70:Z85)</f>
        <v>0</v>
      </c>
      <c r="AA86" s="15">
        <f>SUM(AA70:AA85)</f>
        <v>0</v>
      </c>
      <c r="AB86" s="22">
        <f t="shared" si="36"/>
        <v>0</v>
      </c>
      <c r="AC86" s="15">
        <f>SUM(AC70:AC85)</f>
        <v>0</v>
      </c>
      <c r="AD86" s="15">
        <f>SUM(AD70:AD85)</f>
        <v>0</v>
      </c>
      <c r="AE86" s="22">
        <f t="shared" si="37"/>
        <v>0</v>
      </c>
      <c r="AF86" s="15">
        <f>SUM(AF70:AF85)</f>
        <v>0</v>
      </c>
      <c r="AG86" s="15">
        <f>SUM(AG70:AG85)</f>
        <v>0</v>
      </c>
      <c r="AH86" s="22">
        <f t="shared" si="38"/>
        <v>0</v>
      </c>
      <c r="AI86" s="15">
        <f>SUM(AI70:AI85)</f>
        <v>0</v>
      </c>
      <c r="AJ86" s="15">
        <f>SUM(AJ70:AJ85)</f>
        <v>0</v>
      </c>
      <c r="AK86" s="22">
        <f t="shared" si="39"/>
        <v>0</v>
      </c>
      <c r="AL86" s="15">
        <f>SUM(AL70:AL85)</f>
        <v>0</v>
      </c>
      <c r="AM86" s="15">
        <f>SUM(AM70:AM85)</f>
        <v>0</v>
      </c>
      <c r="AN86" s="22">
        <f t="shared" si="40"/>
        <v>0</v>
      </c>
      <c r="AO86" s="15">
        <f>SUM(AO70:AO85)</f>
        <v>0</v>
      </c>
      <c r="AP86" s="15">
        <f>SUM(AP70:AP85)</f>
        <v>0</v>
      </c>
      <c r="AQ86" s="22">
        <f t="shared" si="41"/>
        <v>0</v>
      </c>
    </row>
    <row r="87" spans="1:43" hidden="1" outlineLevel="1" x14ac:dyDescent="0.45">
      <c r="A87" s="10" t="s">
        <v>478</v>
      </c>
      <c r="B87" s="39">
        <v>7001010</v>
      </c>
      <c r="C87" s="15">
        <v>30000</v>
      </c>
      <c r="D87" s="15">
        <f ca="1">SUMIFS(Monatsexporte[Saldo],Monatsexporte[Jahr],$B$4,Monatsexporte[Monat],"&lt;="&amp;$B$8,Monatsexporte[Konto],B87)</f>
        <v>90000</v>
      </c>
      <c r="E87" s="15">
        <f ca="1">SUMIFS(Monatsexporte[Saldo],Monatsexporte[Jahr],$B$5,Monatsexporte[Monat],"&lt;="&amp;$B$8,Monatsexporte[Konto],B87)</f>
        <v>0</v>
      </c>
      <c r="F87" s="15">
        <f t="shared" ca="1" si="28"/>
        <v>90000</v>
      </c>
      <c r="G87" s="22">
        <f t="shared" ca="1" si="29"/>
        <v>0</v>
      </c>
      <c r="H87" s="15">
        <f>SUMIFS(Monatsexporte[Saldo],Monatsexporte[Jahr],$B$4,Monatsexporte[Monat],1,Monatsexporte[Konto],B87)</f>
        <v>0</v>
      </c>
      <c r="I87" s="15">
        <f>SUMIFS(Monatsexporte[Saldo],Monatsexporte[Jahr],$B$5,Monatsexporte[Monat],1,Monatsexporte[Konto],B87)</f>
        <v>0</v>
      </c>
      <c r="J87" s="22">
        <f t="shared" si="30"/>
        <v>0</v>
      </c>
      <c r="K87" s="15">
        <f>SUMIFS(Monatsexporte[Saldo],Monatsexporte[Jahr],$B$4,Monatsexporte[Monat],2,Monatsexporte[Konto],B87)</f>
        <v>0</v>
      </c>
      <c r="L87" s="15">
        <f>SUMIFS(Monatsexporte[Saldo],Monatsexporte[Jahr],$B$5,Monatsexporte[Monat],2,Monatsexporte[Konto],B87)</f>
        <v>0</v>
      </c>
      <c r="M87" s="22">
        <f t="shared" si="31"/>
        <v>0</v>
      </c>
      <c r="N87" s="15">
        <f>SUMIFS(Monatsexporte[Saldo],Monatsexporte[Jahr],$B$4,Monatsexporte[Monat],3,Monatsexporte[Konto],B87)</f>
        <v>30000</v>
      </c>
      <c r="O87" s="15">
        <f>SUMIFS(Monatsexporte[Saldo],Monatsexporte[Jahr],$B$5,Monatsexporte[Monat],3,Monatsexporte[Konto],B87)</f>
        <v>0</v>
      </c>
      <c r="P87" s="22">
        <f t="shared" si="32"/>
        <v>0</v>
      </c>
      <c r="Q87" s="15">
        <f>SUMIFS(Monatsexporte[Saldo],Monatsexporte[Jahr],$B$4,Monatsexporte[Monat],4,Monatsexporte[Konto],B87)</f>
        <v>30000</v>
      </c>
      <c r="R87" s="15">
        <f>SUMIFS(Monatsexporte[Saldo],Monatsexporte[Jahr],$B$5,Monatsexporte[Monat],4,Monatsexporte[Konto],B87)</f>
        <v>0</v>
      </c>
      <c r="S87" s="22">
        <f t="shared" si="33"/>
        <v>0</v>
      </c>
      <c r="T87" s="15">
        <f>SUMIFS(Monatsexporte[Saldo],Monatsexporte[Jahr],$B$4,Monatsexporte[Monat],5,Monatsexporte[Konto],B87)</f>
        <v>30000</v>
      </c>
      <c r="U87" s="15">
        <f>SUMIFS(Monatsexporte[Saldo],Monatsexporte[Jahr],$B$5,Monatsexporte[Monat],5,Monatsexporte[Konto],B87)</f>
        <v>0</v>
      </c>
      <c r="V87" s="22">
        <f t="shared" si="34"/>
        <v>0</v>
      </c>
      <c r="W87" s="15">
        <f>SUMIFS(Monatsexporte[Saldo],Monatsexporte[Jahr],$B$4,Monatsexporte[Monat],6,Monatsexporte[Konto],B87)</f>
        <v>0</v>
      </c>
      <c r="X87" s="15">
        <f>SUMIFS(Monatsexporte[Saldo],Monatsexporte[Jahr],$B$5,Monatsexporte[Monat],6,Monatsexporte[Konto],B87)</f>
        <v>0</v>
      </c>
      <c r="Y87" s="22">
        <f t="shared" si="35"/>
        <v>0</v>
      </c>
      <c r="Z87" s="15">
        <f>SUMIFS(Monatsexporte[Saldo],Monatsexporte[Jahr],$B$4,Monatsexporte[Monat],7,Monatsexporte[Konto],B87)</f>
        <v>0</v>
      </c>
      <c r="AA87" s="15">
        <f>SUMIFS(Monatsexporte[Saldo],Monatsexporte[Jahr],$B$5,Monatsexporte[Monat],7,Monatsexporte[Konto],B87)</f>
        <v>0</v>
      </c>
      <c r="AB87" s="22">
        <f t="shared" si="36"/>
        <v>0</v>
      </c>
      <c r="AC87" s="15">
        <f>SUMIFS(Monatsexporte[Saldo],Monatsexporte[Jahr],$B$4,Monatsexporte[Monat],8,Monatsexporte[Konto],B87)</f>
        <v>0</v>
      </c>
      <c r="AD87" s="15">
        <f>SUMIFS(Monatsexporte[Saldo],Monatsexporte[Jahr],$B$5,Monatsexporte[Monat],8,Monatsexporte[Konto],B87)</f>
        <v>0</v>
      </c>
      <c r="AE87" s="22">
        <f t="shared" si="37"/>
        <v>0</v>
      </c>
      <c r="AF87" s="15">
        <f>SUMIFS(Monatsexporte[Saldo],Monatsexporte[Jahr],$B$4,Monatsexporte[Monat],9,Monatsexporte[Konto],B87)</f>
        <v>0</v>
      </c>
      <c r="AG87" s="15">
        <f>SUMIFS(Monatsexporte[Saldo],Monatsexporte[Jahr],$B$5,Monatsexporte[Monat],9,Monatsexporte[Konto],B87)</f>
        <v>0</v>
      </c>
      <c r="AH87" s="22">
        <f t="shared" si="38"/>
        <v>0</v>
      </c>
      <c r="AI87" s="15">
        <f>SUMIFS(Monatsexporte[Saldo],Monatsexporte[Jahr],$B$4,Monatsexporte[Monat],10,Monatsexporte[Konto],B87)</f>
        <v>0</v>
      </c>
      <c r="AJ87" s="15">
        <f>SUMIFS(Monatsexporte[Saldo],Monatsexporte[Jahr],$B$5,Monatsexporte[Monat],10,Monatsexporte[Konto],B87)</f>
        <v>0</v>
      </c>
      <c r="AK87" s="22">
        <f t="shared" si="39"/>
        <v>0</v>
      </c>
      <c r="AL87" s="15">
        <f>SUMIFS(Monatsexporte[Saldo],Monatsexporte[Jahr],$B$4,Monatsexporte[Monat],11,Monatsexporte[Konto],B87)</f>
        <v>0</v>
      </c>
      <c r="AM87" s="15">
        <f>SUMIFS(Monatsexporte[Saldo],Monatsexporte[Jahr],$B$5,Monatsexporte[Monat],11,Monatsexporte[Konto],B87)</f>
        <v>0</v>
      </c>
      <c r="AN87" s="22">
        <f t="shared" si="40"/>
        <v>0</v>
      </c>
      <c r="AO87" s="15">
        <f>SUMIFS(Monatsexporte[Saldo],Monatsexporte[Jahr],$B$4,Monatsexporte[Monat],12,Monatsexporte[Konto],B87)</f>
        <v>0</v>
      </c>
      <c r="AP87" s="15">
        <f>SUMIFS(Monatsexporte[Saldo],Monatsexporte[Jahr],$B$5,Monatsexporte[Monat],12,Monatsexporte[Konto],B87)</f>
        <v>0</v>
      </c>
      <c r="AQ87" s="22">
        <f t="shared" si="41"/>
        <v>0</v>
      </c>
    </row>
    <row r="88" spans="1:43" hidden="1" outlineLevel="1" x14ac:dyDescent="0.45">
      <c r="A88" s="10" t="s">
        <v>479</v>
      </c>
      <c r="B88" s="39">
        <v>7001020</v>
      </c>
      <c r="C88" s="15">
        <v>10319</v>
      </c>
      <c r="D88" s="15">
        <f ca="1">SUMIFS(Monatsexporte[Saldo],Monatsexporte[Jahr],$B$4,Monatsexporte[Monat],"&lt;="&amp;$B$8,Monatsexporte[Konto],B88)</f>
        <v>30956.46</v>
      </c>
      <c r="E88" s="15">
        <f ca="1">SUMIFS(Monatsexporte[Saldo],Monatsexporte[Jahr],$B$5,Monatsexporte[Monat],"&lt;="&amp;$B$8,Monatsexporte[Konto],B88)</f>
        <v>0</v>
      </c>
      <c r="F88" s="15">
        <f t="shared" ca="1" si="28"/>
        <v>30956.46</v>
      </c>
      <c r="G88" s="22">
        <f t="shared" ca="1" si="29"/>
        <v>0</v>
      </c>
      <c r="H88" s="15">
        <f>SUMIFS(Monatsexporte[Saldo],Monatsexporte[Jahr],$B$4,Monatsexporte[Monat],1,Monatsexporte[Konto],B88)</f>
        <v>0</v>
      </c>
      <c r="I88" s="15">
        <f>SUMIFS(Monatsexporte[Saldo],Monatsexporte[Jahr],$B$5,Monatsexporte[Monat],1,Monatsexporte[Konto],B88)</f>
        <v>0</v>
      </c>
      <c r="J88" s="22">
        <f t="shared" si="30"/>
        <v>0</v>
      </c>
      <c r="K88" s="15">
        <f>SUMIFS(Monatsexporte[Saldo],Monatsexporte[Jahr],$B$4,Monatsexporte[Monat],2,Monatsexporte[Konto],B88)</f>
        <v>0</v>
      </c>
      <c r="L88" s="15">
        <f>SUMIFS(Monatsexporte[Saldo],Monatsexporte[Jahr],$B$5,Monatsexporte[Monat],2,Monatsexporte[Konto],B88)</f>
        <v>0</v>
      </c>
      <c r="M88" s="22">
        <f t="shared" si="31"/>
        <v>0</v>
      </c>
      <c r="N88" s="15">
        <f>SUMIFS(Monatsexporte[Saldo],Monatsexporte[Jahr],$B$4,Monatsexporte[Monat],3,Monatsexporte[Konto],B88)</f>
        <v>10318.82</v>
      </c>
      <c r="O88" s="15">
        <f>SUMIFS(Monatsexporte[Saldo],Monatsexporte[Jahr],$B$5,Monatsexporte[Monat],3,Monatsexporte[Konto],B88)</f>
        <v>0</v>
      </c>
      <c r="P88" s="22">
        <f t="shared" si="32"/>
        <v>0</v>
      </c>
      <c r="Q88" s="15">
        <f>SUMIFS(Monatsexporte[Saldo],Monatsexporte[Jahr],$B$4,Monatsexporte[Monat],4,Monatsexporte[Konto],B88)</f>
        <v>10318.82</v>
      </c>
      <c r="R88" s="15">
        <f>SUMIFS(Monatsexporte[Saldo],Monatsexporte[Jahr],$B$5,Monatsexporte[Monat],4,Monatsexporte[Konto],B88)</f>
        <v>0</v>
      </c>
      <c r="S88" s="22">
        <f t="shared" si="33"/>
        <v>0</v>
      </c>
      <c r="T88" s="15">
        <f>SUMIFS(Monatsexporte[Saldo],Monatsexporte[Jahr],$B$4,Monatsexporte[Monat],5,Monatsexporte[Konto],B88)</f>
        <v>10318.82</v>
      </c>
      <c r="U88" s="15">
        <f>SUMIFS(Monatsexporte[Saldo],Monatsexporte[Jahr],$B$5,Monatsexporte[Monat],5,Monatsexporte[Konto],B88)</f>
        <v>0</v>
      </c>
      <c r="V88" s="22">
        <f t="shared" si="34"/>
        <v>0</v>
      </c>
      <c r="W88" s="15">
        <f>SUMIFS(Monatsexporte[Saldo],Monatsexporte[Jahr],$B$4,Monatsexporte[Monat],6,Monatsexporte[Konto],B88)</f>
        <v>0</v>
      </c>
      <c r="X88" s="15">
        <f>SUMIFS(Monatsexporte[Saldo],Monatsexporte[Jahr],$B$5,Monatsexporte[Monat],6,Monatsexporte[Konto],B88)</f>
        <v>0</v>
      </c>
      <c r="Y88" s="22">
        <f t="shared" si="35"/>
        <v>0</v>
      </c>
      <c r="Z88" s="15">
        <f>SUMIFS(Monatsexporte[Saldo],Monatsexporte[Jahr],$B$4,Monatsexporte[Monat],7,Monatsexporte[Konto],B88)</f>
        <v>0</v>
      </c>
      <c r="AA88" s="15">
        <f>SUMIFS(Monatsexporte[Saldo],Monatsexporte[Jahr],$B$5,Monatsexporte[Monat],7,Monatsexporte[Konto],B88)</f>
        <v>0</v>
      </c>
      <c r="AB88" s="22">
        <f t="shared" si="36"/>
        <v>0</v>
      </c>
      <c r="AC88" s="15">
        <f>SUMIFS(Monatsexporte[Saldo],Monatsexporte[Jahr],$B$4,Monatsexporte[Monat],8,Monatsexporte[Konto],B88)</f>
        <v>0</v>
      </c>
      <c r="AD88" s="15">
        <f>SUMIFS(Monatsexporte[Saldo],Monatsexporte[Jahr],$B$5,Monatsexporte[Monat],8,Monatsexporte[Konto],B88)</f>
        <v>0</v>
      </c>
      <c r="AE88" s="22">
        <f t="shared" si="37"/>
        <v>0</v>
      </c>
      <c r="AF88" s="15">
        <f>SUMIFS(Monatsexporte[Saldo],Monatsexporte[Jahr],$B$4,Monatsexporte[Monat],9,Monatsexporte[Konto],B88)</f>
        <v>0</v>
      </c>
      <c r="AG88" s="15">
        <f>SUMIFS(Monatsexporte[Saldo],Monatsexporte[Jahr],$B$5,Monatsexporte[Monat],9,Monatsexporte[Konto],B88)</f>
        <v>0</v>
      </c>
      <c r="AH88" s="22">
        <f t="shared" si="38"/>
        <v>0</v>
      </c>
      <c r="AI88" s="15">
        <f>SUMIFS(Monatsexporte[Saldo],Monatsexporte[Jahr],$B$4,Monatsexporte[Monat],10,Monatsexporte[Konto],B88)</f>
        <v>0</v>
      </c>
      <c r="AJ88" s="15">
        <f>SUMIFS(Monatsexporte[Saldo],Monatsexporte[Jahr],$B$5,Monatsexporte[Monat],10,Monatsexporte[Konto],B88)</f>
        <v>0</v>
      </c>
      <c r="AK88" s="22">
        <f t="shared" si="39"/>
        <v>0</v>
      </c>
      <c r="AL88" s="15">
        <f>SUMIFS(Monatsexporte[Saldo],Monatsexporte[Jahr],$B$4,Monatsexporte[Monat],11,Monatsexporte[Konto],B88)</f>
        <v>0</v>
      </c>
      <c r="AM88" s="15">
        <f>SUMIFS(Monatsexporte[Saldo],Monatsexporte[Jahr],$B$5,Monatsexporte[Monat],11,Monatsexporte[Konto],B88)</f>
        <v>0</v>
      </c>
      <c r="AN88" s="22">
        <f t="shared" si="40"/>
        <v>0</v>
      </c>
      <c r="AO88" s="15">
        <f>SUMIFS(Monatsexporte[Saldo],Monatsexporte[Jahr],$B$4,Monatsexporte[Monat],12,Monatsexporte[Konto],B88)</f>
        <v>0</v>
      </c>
      <c r="AP88" s="15">
        <f>SUMIFS(Monatsexporte[Saldo],Monatsexporte[Jahr],$B$5,Monatsexporte[Monat],12,Monatsexporte[Konto],B88)</f>
        <v>0</v>
      </c>
      <c r="AQ88" s="22">
        <f t="shared" si="41"/>
        <v>0</v>
      </c>
    </row>
    <row r="89" spans="1:43" hidden="1" outlineLevel="1" x14ac:dyDescent="0.45">
      <c r="A89" s="10" t="s">
        <v>480</v>
      </c>
      <c r="B89" s="39">
        <v>7001052</v>
      </c>
      <c r="C89" s="15">
        <v>40134</v>
      </c>
      <c r="D89" s="15">
        <f ca="1">SUMIFS(Monatsexporte[Saldo],Monatsexporte[Jahr],$B$4,Monatsexporte[Monat],"&lt;="&amp;$B$8,Monatsexporte[Konto],B89)</f>
        <v>120401.67</v>
      </c>
      <c r="E89" s="15">
        <f ca="1">SUMIFS(Monatsexporte[Saldo],Monatsexporte[Jahr],$B$5,Monatsexporte[Monat],"&lt;="&amp;$B$8,Monatsexporte[Konto],B89)</f>
        <v>0</v>
      </c>
      <c r="F89" s="15">
        <f t="shared" ca="1" si="28"/>
        <v>120401.67</v>
      </c>
      <c r="G89" s="22">
        <f t="shared" ca="1" si="29"/>
        <v>0</v>
      </c>
      <c r="H89" s="15">
        <f>SUMIFS(Monatsexporte[Saldo],Monatsexporte[Jahr],$B$4,Monatsexporte[Monat],1,Monatsexporte[Konto],B89)</f>
        <v>0</v>
      </c>
      <c r="I89" s="15">
        <f>SUMIFS(Monatsexporte[Saldo],Monatsexporte[Jahr],$B$5,Monatsexporte[Monat],1,Monatsexporte[Konto],B89)</f>
        <v>0</v>
      </c>
      <c r="J89" s="22">
        <f t="shared" si="30"/>
        <v>0</v>
      </c>
      <c r="K89" s="15">
        <f>SUMIFS(Monatsexporte[Saldo],Monatsexporte[Jahr],$B$4,Monatsexporte[Monat],2,Monatsexporte[Konto],B89)</f>
        <v>0</v>
      </c>
      <c r="L89" s="15">
        <f>SUMIFS(Monatsexporte[Saldo],Monatsexporte[Jahr],$B$5,Monatsexporte[Monat],2,Monatsexporte[Konto],B89)</f>
        <v>0</v>
      </c>
      <c r="M89" s="22">
        <f t="shared" si="31"/>
        <v>0</v>
      </c>
      <c r="N89" s="15">
        <f>SUMIFS(Monatsexporte[Saldo],Monatsexporte[Jahr],$B$4,Monatsexporte[Monat],3,Monatsexporte[Konto],B89)</f>
        <v>40133.89</v>
      </c>
      <c r="O89" s="15">
        <f>SUMIFS(Monatsexporte[Saldo],Monatsexporte[Jahr],$B$5,Monatsexporte[Monat],3,Monatsexporte[Konto],B89)</f>
        <v>0</v>
      </c>
      <c r="P89" s="22">
        <f t="shared" si="32"/>
        <v>0</v>
      </c>
      <c r="Q89" s="15">
        <f>SUMIFS(Monatsexporte[Saldo],Monatsexporte[Jahr],$B$4,Monatsexporte[Monat],4,Monatsexporte[Konto],B89)</f>
        <v>40133.89</v>
      </c>
      <c r="R89" s="15">
        <f>SUMIFS(Monatsexporte[Saldo],Monatsexporte[Jahr],$B$5,Monatsexporte[Monat],4,Monatsexporte[Konto],B89)</f>
        <v>0</v>
      </c>
      <c r="S89" s="22">
        <f t="shared" si="33"/>
        <v>0</v>
      </c>
      <c r="T89" s="15">
        <f>SUMIFS(Monatsexporte[Saldo],Monatsexporte[Jahr],$B$4,Monatsexporte[Monat],5,Monatsexporte[Konto],B89)</f>
        <v>40133.89</v>
      </c>
      <c r="U89" s="15">
        <f>SUMIFS(Monatsexporte[Saldo],Monatsexporte[Jahr],$B$5,Monatsexporte[Monat],5,Monatsexporte[Konto],B89)</f>
        <v>0</v>
      </c>
      <c r="V89" s="22">
        <f t="shared" si="34"/>
        <v>0</v>
      </c>
      <c r="W89" s="15">
        <f>SUMIFS(Monatsexporte[Saldo],Monatsexporte[Jahr],$B$4,Monatsexporte[Monat],6,Monatsexporte[Konto],B89)</f>
        <v>0</v>
      </c>
      <c r="X89" s="15">
        <f>SUMIFS(Monatsexporte[Saldo],Monatsexporte[Jahr],$B$5,Monatsexporte[Monat],6,Monatsexporte[Konto],B89)</f>
        <v>0</v>
      </c>
      <c r="Y89" s="22">
        <f t="shared" si="35"/>
        <v>0</v>
      </c>
      <c r="Z89" s="15">
        <f>SUMIFS(Monatsexporte[Saldo],Monatsexporte[Jahr],$B$4,Monatsexporte[Monat],7,Monatsexporte[Konto],B89)</f>
        <v>0</v>
      </c>
      <c r="AA89" s="15">
        <f>SUMIFS(Monatsexporte[Saldo],Monatsexporte[Jahr],$B$5,Monatsexporte[Monat],7,Monatsexporte[Konto],B89)</f>
        <v>0</v>
      </c>
      <c r="AB89" s="22">
        <f t="shared" si="36"/>
        <v>0</v>
      </c>
      <c r="AC89" s="15">
        <f>SUMIFS(Monatsexporte[Saldo],Monatsexporte[Jahr],$B$4,Monatsexporte[Monat],8,Monatsexporte[Konto],B89)</f>
        <v>0</v>
      </c>
      <c r="AD89" s="15">
        <f>SUMIFS(Monatsexporte[Saldo],Monatsexporte[Jahr],$B$5,Monatsexporte[Monat],8,Monatsexporte[Konto],B89)</f>
        <v>0</v>
      </c>
      <c r="AE89" s="22">
        <f t="shared" si="37"/>
        <v>0</v>
      </c>
      <c r="AF89" s="15">
        <f>SUMIFS(Monatsexporte[Saldo],Monatsexporte[Jahr],$B$4,Monatsexporte[Monat],9,Monatsexporte[Konto],B89)</f>
        <v>0</v>
      </c>
      <c r="AG89" s="15">
        <f>SUMIFS(Monatsexporte[Saldo],Monatsexporte[Jahr],$B$5,Monatsexporte[Monat],9,Monatsexporte[Konto],B89)</f>
        <v>0</v>
      </c>
      <c r="AH89" s="22">
        <f t="shared" si="38"/>
        <v>0</v>
      </c>
      <c r="AI89" s="15">
        <f>SUMIFS(Monatsexporte[Saldo],Monatsexporte[Jahr],$B$4,Monatsexporte[Monat],10,Monatsexporte[Konto],B89)</f>
        <v>0</v>
      </c>
      <c r="AJ89" s="15">
        <f>SUMIFS(Monatsexporte[Saldo],Monatsexporte[Jahr],$B$5,Monatsexporte[Monat],10,Monatsexporte[Konto],B89)</f>
        <v>0</v>
      </c>
      <c r="AK89" s="22">
        <f t="shared" si="39"/>
        <v>0</v>
      </c>
      <c r="AL89" s="15">
        <f>SUMIFS(Monatsexporte[Saldo],Monatsexporte[Jahr],$B$4,Monatsexporte[Monat],11,Monatsexporte[Konto],B89)</f>
        <v>0</v>
      </c>
      <c r="AM89" s="15">
        <f>SUMIFS(Monatsexporte[Saldo],Monatsexporte[Jahr],$B$5,Monatsexporte[Monat],11,Monatsexporte[Konto],B89)</f>
        <v>0</v>
      </c>
      <c r="AN89" s="22">
        <f t="shared" si="40"/>
        <v>0</v>
      </c>
      <c r="AO89" s="15">
        <f>SUMIFS(Monatsexporte[Saldo],Monatsexporte[Jahr],$B$4,Monatsexporte[Monat],12,Monatsexporte[Konto],B89)</f>
        <v>0</v>
      </c>
      <c r="AP89" s="15">
        <f>SUMIFS(Monatsexporte[Saldo],Monatsexporte[Jahr],$B$5,Monatsexporte[Monat],12,Monatsexporte[Konto],B89)</f>
        <v>0</v>
      </c>
      <c r="AQ89" s="22">
        <f t="shared" si="41"/>
        <v>0</v>
      </c>
    </row>
    <row r="90" spans="1:43" hidden="1" outlineLevel="1" x14ac:dyDescent="0.45">
      <c r="A90" s="10" t="s">
        <v>481</v>
      </c>
      <c r="B90" s="39">
        <v>7001053</v>
      </c>
      <c r="C90" s="15">
        <v>8100</v>
      </c>
      <c r="D90" s="15">
        <f ca="1">SUMIFS(Monatsexporte[Saldo],Monatsexporte[Jahr],$B$4,Monatsexporte[Monat],"&lt;="&amp;$B$8,Monatsexporte[Konto],B90)</f>
        <v>24300</v>
      </c>
      <c r="E90" s="15">
        <f ca="1">SUMIFS(Monatsexporte[Saldo],Monatsexporte[Jahr],$B$5,Monatsexporte[Monat],"&lt;="&amp;$B$8,Monatsexporte[Konto],B90)</f>
        <v>0</v>
      </c>
      <c r="F90" s="15">
        <f t="shared" ca="1" si="28"/>
        <v>24300</v>
      </c>
      <c r="G90" s="22">
        <f t="shared" ca="1" si="29"/>
        <v>0</v>
      </c>
      <c r="H90" s="15">
        <f>SUMIFS(Monatsexporte[Saldo],Monatsexporte[Jahr],$B$4,Monatsexporte[Monat],1,Monatsexporte[Konto],B90)</f>
        <v>0</v>
      </c>
      <c r="I90" s="15">
        <f>SUMIFS(Monatsexporte[Saldo],Monatsexporte[Jahr],$B$5,Monatsexporte[Monat],1,Monatsexporte[Konto],B90)</f>
        <v>0</v>
      </c>
      <c r="J90" s="22">
        <f t="shared" si="30"/>
        <v>0</v>
      </c>
      <c r="K90" s="15">
        <f>SUMIFS(Monatsexporte[Saldo],Monatsexporte[Jahr],$B$4,Monatsexporte[Monat],2,Monatsexporte[Konto],B90)</f>
        <v>0</v>
      </c>
      <c r="L90" s="15">
        <f>SUMIFS(Monatsexporte[Saldo],Monatsexporte[Jahr],$B$5,Monatsexporte[Monat],2,Monatsexporte[Konto],B90)</f>
        <v>0</v>
      </c>
      <c r="M90" s="22">
        <f t="shared" si="31"/>
        <v>0</v>
      </c>
      <c r="N90" s="15">
        <f>SUMIFS(Monatsexporte[Saldo],Monatsexporte[Jahr],$B$4,Monatsexporte[Monat],3,Monatsexporte[Konto],B90)</f>
        <v>8100</v>
      </c>
      <c r="O90" s="15">
        <f>SUMIFS(Monatsexporte[Saldo],Monatsexporte[Jahr],$B$5,Monatsexporte[Monat],3,Monatsexporte[Konto],B90)</f>
        <v>0</v>
      </c>
      <c r="P90" s="22">
        <f t="shared" si="32"/>
        <v>0</v>
      </c>
      <c r="Q90" s="15">
        <f>SUMIFS(Monatsexporte[Saldo],Monatsexporte[Jahr],$B$4,Monatsexporte[Monat],4,Monatsexporte[Konto],B90)</f>
        <v>8100</v>
      </c>
      <c r="R90" s="15">
        <f>SUMIFS(Monatsexporte[Saldo],Monatsexporte[Jahr],$B$5,Monatsexporte[Monat],4,Monatsexporte[Konto],B90)</f>
        <v>0</v>
      </c>
      <c r="S90" s="22">
        <f t="shared" si="33"/>
        <v>0</v>
      </c>
      <c r="T90" s="15">
        <f>SUMIFS(Monatsexporte[Saldo],Monatsexporte[Jahr],$B$4,Monatsexporte[Monat],5,Monatsexporte[Konto],B90)</f>
        <v>8100</v>
      </c>
      <c r="U90" s="15">
        <f>SUMIFS(Monatsexporte[Saldo],Monatsexporte[Jahr],$B$5,Monatsexporte[Monat],5,Monatsexporte[Konto],B90)</f>
        <v>0</v>
      </c>
      <c r="V90" s="22">
        <f t="shared" si="34"/>
        <v>0</v>
      </c>
      <c r="W90" s="15">
        <f>SUMIFS(Monatsexporte[Saldo],Monatsexporte[Jahr],$B$4,Monatsexporte[Monat],6,Monatsexporte[Konto],B90)</f>
        <v>0</v>
      </c>
      <c r="X90" s="15">
        <f>SUMIFS(Monatsexporte[Saldo],Monatsexporte[Jahr],$B$5,Monatsexporte[Monat],6,Monatsexporte[Konto],B90)</f>
        <v>0</v>
      </c>
      <c r="Y90" s="22">
        <f t="shared" si="35"/>
        <v>0</v>
      </c>
      <c r="Z90" s="15">
        <f>SUMIFS(Monatsexporte[Saldo],Monatsexporte[Jahr],$B$4,Monatsexporte[Monat],7,Monatsexporte[Konto],B90)</f>
        <v>0</v>
      </c>
      <c r="AA90" s="15">
        <f>SUMIFS(Monatsexporte[Saldo],Monatsexporte[Jahr],$B$5,Monatsexporte[Monat],7,Monatsexporte[Konto],B90)</f>
        <v>0</v>
      </c>
      <c r="AB90" s="22">
        <f t="shared" si="36"/>
        <v>0</v>
      </c>
      <c r="AC90" s="15">
        <f>SUMIFS(Monatsexporte[Saldo],Monatsexporte[Jahr],$B$4,Monatsexporte[Monat],8,Monatsexporte[Konto],B90)</f>
        <v>0</v>
      </c>
      <c r="AD90" s="15">
        <f>SUMIFS(Monatsexporte[Saldo],Monatsexporte[Jahr],$B$5,Monatsexporte[Monat],8,Monatsexporte[Konto],B90)</f>
        <v>0</v>
      </c>
      <c r="AE90" s="22">
        <f t="shared" si="37"/>
        <v>0</v>
      </c>
      <c r="AF90" s="15">
        <f>SUMIFS(Monatsexporte[Saldo],Monatsexporte[Jahr],$B$4,Monatsexporte[Monat],9,Monatsexporte[Konto],B90)</f>
        <v>0</v>
      </c>
      <c r="AG90" s="15">
        <f>SUMIFS(Monatsexporte[Saldo],Monatsexporte[Jahr],$B$5,Monatsexporte[Monat],9,Monatsexporte[Konto],B90)</f>
        <v>0</v>
      </c>
      <c r="AH90" s="22">
        <f t="shared" si="38"/>
        <v>0</v>
      </c>
      <c r="AI90" s="15">
        <f>SUMIFS(Monatsexporte[Saldo],Monatsexporte[Jahr],$B$4,Monatsexporte[Monat],10,Monatsexporte[Konto],B90)</f>
        <v>0</v>
      </c>
      <c r="AJ90" s="15">
        <f>SUMIFS(Monatsexporte[Saldo],Monatsexporte[Jahr],$B$5,Monatsexporte[Monat],10,Monatsexporte[Konto],B90)</f>
        <v>0</v>
      </c>
      <c r="AK90" s="22">
        <f t="shared" si="39"/>
        <v>0</v>
      </c>
      <c r="AL90" s="15">
        <f>SUMIFS(Monatsexporte[Saldo],Monatsexporte[Jahr],$B$4,Monatsexporte[Monat],11,Monatsexporte[Konto],B90)</f>
        <v>0</v>
      </c>
      <c r="AM90" s="15">
        <f>SUMIFS(Monatsexporte[Saldo],Monatsexporte[Jahr],$B$5,Monatsexporte[Monat],11,Monatsexporte[Konto],B90)</f>
        <v>0</v>
      </c>
      <c r="AN90" s="22">
        <f t="shared" si="40"/>
        <v>0</v>
      </c>
      <c r="AO90" s="15">
        <f>SUMIFS(Monatsexporte[Saldo],Monatsexporte[Jahr],$B$4,Monatsexporte[Monat],12,Monatsexporte[Konto],B90)</f>
        <v>0</v>
      </c>
      <c r="AP90" s="15">
        <f>SUMIFS(Monatsexporte[Saldo],Monatsexporte[Jahr],$B$5,Monatsexporte[Monat],12,Monatsexporte[Konto],B90)</f>
        <v>0</v>
      </c>
      <c r="AQ90" s="22">
        <f t="shared" si="41"/>
        <v>0</v>
      </c>
    </row>
    <row r="91" spans="1:43" hidden="1" outlineLevel="1" x14ac:dyDescent="0.45">
      <c r="A91" s="10" t="s">
        <v>482</v>
      </c>
      <c r="B91" s="39">
        <v>7001054</v>
      </c>
      <c r="C91" s="15">
        <v>100</v>
      </c>
      <c r="D91" s="15">
        <f ca="1">SUMIFS(Monatsexporte[Saldo],Monatsexporte[Jahr],$B$4,Monatsexporte[Monat],"&lt;="&amp;$B$8,Monatsexporte[Konto],B91)</f>
        <v>300</v>
      </c>
      <c r="E91" s="15">
        <f ca="1">SUMIFS(Monatsexporte[Saldo],Monatsexporte[Jahr],$B$5,Monatsexporte[Monat],"&lt;="&amp;$B$8,Monatsexporte[Konto],B91)</f>
        <v>0</v>
      </c>
      <c r="F91" s="15">
        <f t="shared" ca="1" si="28"/>
        <v>300</v>
      </c>
      <c r="G91" s="22">
        <f t="shared" ca="1" si="29"/>
        <v>0</v>
      </c>
      <c r="H91" s="15">
        <f>SUMIFS(Monatsexporte[Saldo],Monatsexporte[Jahr],$B$4,Monatsexporte[Monat],1,Monatsexporte[Konto],B91)</f>
        <v>0</v>
      </c>
      <c r="I91" s="15">
        <f>SUMIFS(Monatsexporte[Saldo],Monatsexporte[Jahr],$B$5,Monatsexporte[Monat],1,Monatsexporte[Konto],B91)</f>
        <v>0</v>
      </c>
      <c r="J91" s="22">
        <f t="shared" si="30"/>
        <v>0</v>
      </c>
      <c r="K91" s="15">
        <f>SUMIFS(Monatsexporte[Saldo],Monatsexporte[Jahr],$B$4,Monatsexporte[Monat],2,Monatsexporte[Konto],B91)</f>
        <v>0</v>
      </c>
      <c r="L91" s="15">
        <f>SUMIFS(Monatsexporte[Saldo],Monatsexporte[Jahr],$B$5,Monatsexporte[Monat],2,Monatsexporte[Konto],B91)</f>
        <v>0</v>
      </c>
      <c r="M91" s="22">
        <f t="shared" si="31"/>
        <v>0</v>
      </c>
      <c r="N91" s="15">
        <f>SUMIFS(Monatsexporte[Saldo],Monatsexporte[Jahr],$B$4,Monatsexporte[Monat],3,Monatsexporte[Konto],B91)</f>
        <v>100</v>
      </c>
      <c r="O91" s="15">
        <f>SUMIFS(Monatsexporte[Saldo],Monatsexporte[Jahr],$B$5,Monatsexporte[Monat],3,Monatsexporte[Konto],B91)</f>
        <v>0</v>
      </c>
      <c r="P91" s="22">
        <f t="shared" si="32"/>
        <v>0</v>
      </c>
      <c r="Q91" s="15">
        <f>SUMIFS(Monatsexporte[Saldo],Monatsexporte[Jahr],$B$4,Monatsexporte[Monat],4,Monatsexporte[Konto],B91)</f>
        <v>100</v>
      </c>
      <c r="R91" s="15">
        <f>SUMIFS(Monatsexporte[Saldo],Monatsexporte[Jahr],$B$5,Monatsexporte[Monat],4,Monatsexporte[Konto],B91)</f>
        <v>0</v>
      </c>
      <c r="S91" s="22">
        <f t="shared" si="33"/>
        <v>0</v>
      </c>
      <c r="T91" s="15">
        <f>SUMIFS(Monatsexporte[Saldo],Monatsexporte[Jahr],$B$4,Monatsexporte[Monat],5,Monatsexporte[Konto],B91)</f>
        <v>100</v>
      </c>
      <c r="U91" s="15">
        <f>SUMIFS(Monatsexporte[Saldo],Monatsexporte[Jahr],$B$5,Monatsexporte[Monat],5,Monatsexporte[Konto],B91)</f>
        <v>0</v>
      </c>
      <c r="V91" s="22">
        <f t="shared" si="34"/>
        <v>0</v>
      </c>
      <c r="W91" s="15">
        <f>SUMIFS(Monatsexporte[Saldo],Monatsexporte[Jahr],$B$4,Monatsexporte[Monat],6,Monatsexporte[Konto],B91)</f>
        <v>0</v>
      </c>
      <c r="X91" s="15">
        <f>SUMIFS(Monatsexporte[Saldo],Monatsexporte[Jahr],$B$5,Monatsexporte[Monat],6,Monatsexporte[Konto],B91)</f>
        <v>0</v>
      </c>
      <c r="Y91" s="22">
        <f t="shared" si="35"/>
        <v>0</v>
      </c>
      <c r="Z91" s="15">
        <f>SUMIFS(Monatsexporte[Saldo],Monatsexporte[Jahr],$B$4,Monatsexporte[Monat],7,Monatsexporte[Konto],B91)</f>
        <v>0</v>
      </c>
      <c r="AA91" s="15">
        <f>SUMIFS(Monatsexporte[Saldo],Monatsexporte[Jahr],$B$5,Monatsexporte[Monat],7,Monatsexporte[Konto],B91)</f>
        <v>0</v>
      </c>
      <c r="AB91" s="22">
        <f t="shared" si="36"/>
        <v>0</v>
      </c>
      <c r="AC91" s="15">
        <f>SUMIFS(Monatsexporte[Saldo],Monatsexporte[Jahr],$B$4,Monatsexporte[Monat],8,Monatsexporte[Konto],B91)</f>
        <v>0</v>
      </c>
      <c r="AD91" s="15">
        <f>SUMIFS(Monatsexporte[Saldo],Monatsexporte[Jahr],$B$5,Monatsexporte[Monat],8,Monatsexporte[Konto],B91)</f>
        <v>0</v>
      </c>
      <c r="AE91" s="22">
        <f t="shared" si="37"/>
        <v>0</v>
      </c>
      <c r="AF91" s="15">
        <f>SUMIFS(Monatsexporte[Saldo],Monatsexporte[Jahr],$B$4,Monatsexporte[Monat],9,Monatsexporte[Konto],B91)</f>
        <v>0</v>
      </c>
      <c r="AG91" s="15">
        <f>SUMIFS(Monatsexporte[Saldo],Monatsexporte[Jahr],$B$5,Monatsexporte[Monat],9,Monatsexporte[Konto],B91)</f>
        <v>0</v>
      </c>
      <c r="AH91" s="22">
        <f t="shared" si="38"/>
        <v>0</v>
      </c>
      <c r="AI91" s="15">
        <f>SUMIFS(Monatsexporte[Saldo],Monatsexporte[Jahr],$B$4,Monatsexporte[Monat],10,Monatsexporte[Konto],B91)</f>
        <v>0</v>
      </c>
      <c r="AJ91" s="15">
        <f>SUMIFS(Monatsexporte[Saldo],Monatsexporte[Jahr],$B$5,Monatsexporte[Monat],10,Monatsexporte[Konto],B91)</f>
        <v>0</v>
      </c>
      <c r="AK91" s="22">
        <f t="shared" si="39"/>
        <v>0</v>
      </c>
      <c r="AL91" s="15">
        <f>SUMIFS(Monatsexporte[Saldo],Monatsexporte[Jahr],$B$4,Monatsexporte[Monat],11,Monatsexporte[Konto],B91)</f>
        <v>0</v>
      </c>
      <c r="AM91" s="15">
        <f>SUMIFS(Monatsexporte[Saldo],Monatsexporte[Jahr],$B$5,Monatsexporte[Monat],11,Monatsexporte[Konto],B91)</f>
        <v>0</v>
      </c>
      <c r="AN91" s="22">
        <f t="shared" si="40"/>
        <v>0</v>
      </c>
      <c r="AO91" s="15">
        <f>SUMIFS(Monatsexporte[Saldo],Monatsexporte[Jahr],$B$4,Monatsexporte[Monat],12,Monatsexporte[Konto],B91)</f>
        <v>0</v>
      </c>
      <c r="AP91" s="15">
        <f>SUMIFS(Monatsexporte[Saldo],Monatsexporte[Jahr],$B$5,Monatsexporte[Monat],12,Monatsexporte[Konto],B91)</f>
        <v>0</v>
      </c>
      <c r="AQ91" s="22">
        <f t="shared" si="41"/>
        <v>0</v>
      </c>
    </row>
    <row r="92" spans="1:43" hidden="1" outlineLevel="1" x14ac:dyDescent="0.45">
      <c r="A92" s="10" t="s">
        <v>483</v>
      </c>
      <c r="B92" s="39">
        <v>7001055</v>
      </c>
      <c r="C92" s="15">
        <v>90000</v>
      </c>
      <c r="D92" s="15">
        <f ca="1">SUMIFS(Monatsexporte[Saldo],Monatsexporte[Jahr],$B$4,Monatsexporte[Monat],"&lt;="&amp;$B$8,Monatsexporte[Konto],B92)</f>
        <v>270000</v>
      </c>
      <c r="E92" s="15">
        <f ca="1">SUMIFS(Monatsexporte[Saldo],Monatsexporte[Jahr],$B$5,Monatsexporte[Monat],"&lt;="&amp;$B$8,Monatsexporte[Konto],B92)</f>
        <v>0</v>
      </c>
      <c r="F92" s="15">
        <f t="shared" ca="1" si="28"/>
        <v>270000</v>
      </c>
      <c r="G92" s="22">
        <f t="shared" ca="1" si="29"/>
        <v>0</v>
      </c>
      <c r="H92" s="15">
        <f>SUMIFS(Monatsexporte[Saldo],Monatsexporte[Jahr],$B$4,Monatsexporte[Monat],1,Monatsexporte[Konto],B92)</f>
        <v>0</v>
      </c>
      <c r="I92" s="15">
        <f>SUMIFS(Monatsexporte[Saldo],Monatsexporte[Jahr],$B$5,Monatsexporte[Monat],1,Monatsexporte[Konto],B92)</f>
        <v>0</v>
      </c>
      <c r="J92" s="22">
        <f t="shared" si="30"/>
        <v>0</v>
      </c>
      <c r="K92" s="15">
        <f>SUMIFS(Monatsexporte[Saldo],Monatsexporte[Jahr],$B$4,Monatsexporte[Monat],2,Monatsexporte[Konto],B92)</f>
        <v>0</v>
      </c>
      <c r="L92" s="15">
        <f>SUMIFS(Monatsexporte[Saldo],Monatsexporte[Jahr],$B$5,Monatsexporte[Monat],2,Monatsexporte[Konto],B92)</f>
        <v>0</v>
      </c>
      <c r="M92" s="22">
        <f t="shared" si="31"/>
        <v>0</v>
      </c>
      <c r="N92" s="15">
        <f>SUMIFS(Monatsexporte[Saldo],Monatsexporte[Jahr],$B$4,Monatsexporte[Monat],3,Monatsexporte[Konto],B92)</f>
        <v>90000</v>
      </c>
      <c r="O92" s="15">
        <f>SUMIFS(Monatsexporte[Saldo],Monatsexporte[Jahr],$B$5,Monatsexporte[Monat],3,Monatsexporte[Konto],B92)</f>
        <v>0</v>
      </c>
      <c r="P92" s="22">
        <f t="shared" si="32"/>
        <v>0</v>
      </c>
      <c r="Q92" s="15">
        <f>SUMIFS(Monatsexporte[Saldo],Monatsexporte[Jahr],$B$4,Monatsexporte[Monat],4,Monatsexporte[Konto],B92)</f>
        <v>90000</v>
      </c>
      <c r="R92" s="15">
        <f>SUMIFS(Monatsexporte[Saldo],Monatsexporte[Jahr],$B$5,Monatsexporte[Monat],4,Monatsexporte[Konto],B92)</f>
        <v>0</v>
      </c>
      <c r="S92" s="22">
        <f t="shared" si="33"/>
        <v>0</v>
      </c>
      <c r="T92" s="15">
        <f>SUMIFS(Monatsexporte[Saldo],Monatsexporte[Jahr],$B$4,Monatsexporte[Monat],5,Monatsexporte[Konto],B92)</f>
        <v>90000</v>
      </c>
      <c r="U92" s="15">
        <f>SUMIFS(Monatsexporte[Saldo],Monatsexporte[Jahr],$B$5,Monatsexporte[Monat],5,Monatsexporte[Konto],B92)</f>
        <v>0</v>
      </c>
      <c r="V92" s="22">
        <f t="shared" si="34"/>
        <v>0</v>
      </c>
      <c r="W92" s="15">
        <f>SUMIFS(Monatsexporte[Saldo],Monatsexporte[Jahr],$B$4,Monatsexporte[Monat],6,Monatsexporte[Konto],B92)</f>
        <v>0</v>
      </c>
      <c r="X92" s="15">
        <f>SUMIFS(Monatsexporte[Saldo],Monatsexporte[Jahr],$B$5,Monatsexporte[Monat],6,Monatsexporte[Konto],B92)</f>
        <v>0</v>
      </c>
      <c r="Y92" s="22">
        <f t="shared" si="35"/>
        <v>0</v>
      </c>
      <c r="Z92" s="15">
        <f>SUMIFS(Monatsexporte[Saldo],Monatsexporte[Jahr],$B$4,Monatsexporte[Monat],7,Monatsexporte[Konto],B92)</f>
        <v>0</v>
      </c>
      <c r="AA92" s="15">
        <f>SUMIFS(Monatsexporte[Saldo],Monatsexporte[Jahr],$B$5,Monatsexporte[Monat],7,Monatsexporte[Konto],B92)</f>
        <v>0</v>
      </c>
      <c r="AB92" s="22">
        <f t="shared" si="36"/>
        <v>0</v>
      </c>
      <c r="AC92" s="15">
        <f>SUMIFS(Monatsexporte[Saldo],Monatsexporte[Jahr],$B$4,Monatsexporte[Monat],8,Monatsexporte[Konto],B92)</f>
        <v>0</v>
      </c>
      <c r="AD92" s="15">
        <f>SUMIFS(Monatsexporte[Saldo],Monatsexporte[Jahr],$B$5,Monatsexporte[Monat],8,Monatsexporte[Konto],B92)</f>
        <v>0</v>
      </c>
      <c r="AE92" s="22">
        <f t="shared" si="37"/>
        <v>0</v>
      </c>
      <c r="AF92" s="15">
        <f>SUMIFS(Monatsexporte[Saldo],Monatsexporte[Jahr],$B$4,Monatsexporte[Monat],9,Monatsexporte[Konto],B92)</f>
        <v>0</v>
      </c>
      <c r="AG92" s="15">
        <f>SUMIFS(Monatsexporte[Saldo],Monatsexporte[Jahr],$B$5,Monatsexporte[Monat],9,Monatsexporte[Konto],B92)</f>
        <v>0</v>
      </c>
      <c r="AH92" s="22">
        <f t="shared" si="38"/>
        <v>0</v>
      </c>
      <c r="AI92" s="15">
        <f>SUMIFS(Monatsexporte[Saldo],Monatsexporte[Jahr],$B$4,Monatsexporte[Monat],10,Monatsexporte[Konto],B92)</f>
        <v>0</v>
      </c>
      <c r="AJ92" s="15">
        <f>SUMIFS(Monatsexporte[Saldo],Monatsexporte[Jahr],$B$5,Monatsexporte[Monat],10,Monatsexporte[Konto],B92)</f>
        <v>0</v>
      </c>
      <c r="AK92" s="22">
        <f t="shared" si="39"/>
        <v>0</v>
      </c>
      <c r="AL92" s="15">
        <f>SUMIFS(Monatsexporte[Saldo],Monatsexporte[Jahr],$B$4,Monatsexporte[Monat],11,Monatsexporte[Konto],B92)</f>
        <v>0</v>
      </c>
      <c r="AM92" s="15">
        <f>SUMIFS(Monatsexporte[Saldo],Monatsexporte[Jahr],$B$5,Monatsexporte[Monat],11,Monatsexporte[Konto],B92)</f>
        <v>0</v>
      </c>
      <c r="AN92" s="22">
        <f t="shared" si="40"/>
        <v>0</v>
      </c>
      <c r="AO92" s="15">
        <f>SUMIFS(Monatsexporte[Saldo],Monatsexporte[Jahr],$B$4,Monatsexporte[Monat],12,Monatsexporte[Konto],B92)</f>
        <v>0</v>
      </c>
      <c r="AP92" s="15">
        <f>SUMIFS(Monatsexporte[Saldo],Monatsexporte[Jahr],$B$5,Monatsexporte[Monat],12,Monatsexporte[Konto],B92)</f>
        <v>0</v>
      </c>
      <c r="AQ92" s="22">
        <f t="shared" si="41"/>
        <v>0</v>
      </c>
    </row>
    <row r="93" spans="1:43" hidden="1" outlineLevel="1" x14ac:dyDescent="0.45">
      <c r="A93" s="10" t="s">
        <v>484</v>
      </c>
      <c r="B93" s="39">
        <v>7001520</v>
      </c>
      <c r="C93" s="15">
        <v>107</v>
      </c>
      <c r="D93" s="15">
        <f ca="1">SUMIFS(Monatsexporte[Saldo],Monatsexporte[Jahr],$B$4,Monatsexporte[Monat],"&lt;="&amp;$B$8,Monatsexporte[Konto],B93)</f>
        <v>319.89</v>
      </c>
      <c r="E93" s="15">
        <f ca="1">SUMIFS(Monatsexporte[Saldo],Monatsexporte[Jahr],$B$5,Monatsexporte[Monat],"&lt;="&amp;$B$8,Monatsexporte[Konto],B93)</f>
        <v>0</v>
      </c>
      <c r="F93" s="15">
        <f t="shared" ca="1" si="28"/>
        <v>319.89</v>
      </c>
      <c r="G93" s="22">
        <f t="shared" ca="1" si="29"/>
        <v>0</v>
      </c>
      <c r="H93" s="15">
        <f>SUMIFS(Monatsexporte[Saldo],Monatsexporte[Jahr],$B$4,Monatsexporte[Monat],1,Monatsexporte[Konto],B93)</f>
        <v>0</v>
      </c>
      <c r="I93" s="15">
        <f>SUMIFS(Monatsexporte[Saldo],Monatsexporte[Jahr],$B$5,Monatsexporte[Monat],1,Monatsexporte[Konto],B93)</f>
        <v>0</v>
      </c>
      <c r="J93" s="22">
        <f t="shared" si="30"/>
        <v>0</v>
      </c>
      <c r="K93" s="15">
        <f>SUMIFS(Monatsexporte[Saldo],Monatsexporte[Jahr],$B$4,Monatsexporte[Monat],2,Monatsexporte[Konto],B93)</f>
        <v>0</v>
      </c>
      <c r="L93" s="15">
        <f>SUMIFS(Monatsexporte[Saldo],Monatsexporte[Jahr],$B$5,Monatsexporte[Monat],2,Monatsexporte[Konto],B93)</f>
        <v>0</v>
      </c>
      <c r="M93" s="22">
        <f t="shared" si="31"/>
        <v>0</v>
      </c>
      <c r="N93" s="15">
        <f>SUMIFS(Monatsexporte[Saldo],Monatsexporte[Jahr],$B$4,Monatsexporte[Monat],3,Monatsexporte[Konto],B93)</f>
        <v>106.63</v>
      </c>
      <c r="O93" s="15">
        <f>SUMIFS(Monatsexporte[Saldo],Monatsexporte[Jahr],$B$5,Monatsexporte[Monat],3,Monatsexporte[Konto],B93)</f>
        <v>0</v>
      </c>
      <c r="P93" s="22">
        <f t="shared" si="32"/>
        <v>0</v>
      </c>
      <c r="Q93" s="15">
        <f>SUMIFS(Monatsexporte[Saldo],Monatsexporte[Jahr],$B$4,Monatsexporte[Monat],4,Monatsexporte[Konto],B93)</f>
        <v>106.63</v>
      </c>
      <c r="R93" s="15">
        <f>SUMIFS(Monatsexporte[Saldo],Monatsexporte[Jahr],$B$5,Monatsexporte[Monat],4,Monatsexporte[Konto],B93)</f>
        <v>0</v>
      </c>
      <c r="S93" s="22">
        <f t="shared" si="33"/>
        <v>0</v>
      </c>
      <c r="T93" s="15">
        <f>SUMIFS(Monatsexporte[Saldo],Monatsexporte[Jahr],$B$4,Monatsexporte[Monat],5,Monatsexporte[Konto],B93)</f>
        <v>106.63</v>
      </c>
      <c r="U93" s="15">
        <f>SUMIFS(Monatsexporte[Saldo],Monatsexporte[Jahr],$B$5,Monatsexporte[Monat],5,Monatsexporte[Konto],B93)</f>
        <v>0</v>
      </c>
      <c r="V93" s="22">
        <f t="shared" si="34"/>
        <v>0</v>
      </c>
      <c r="W93" s="15">
        <f>SUMIFS(Monatsexporte[Saldo],Monatsexporte[Jahr],$B$4,Monatsexporte[Monat],6,Monatsexporte[Konto],B93)</f>
        <v>0</v>
      </c>
      <c r="X93" s="15">
        <f>SUMIFS(Monatsexporte[Saldo],Monatsexporte[Jahr],$B$5,Monatsexporte[Monat],6,Monatsexporte[Konto],B93)</f>
        <v>0</v>
      </c>
      <c r="Y93" s="22">
        <f t="shared" si="35"/>
        <v>0</v>
      </c>
      <c r="Z93" s="15">
        <f>SUMIFS(Monatsexporte[Saldo],Monatsexporte[Jahr],$B$4,Monatsexporte[Monat],7,Monatsexporte[Konto],B93)</f>
        <v>0</v>
      </c>
      <c r="AA93" s="15">
        <f>SUMIFS(Monatsexporte[Saldo],Monatsexporte[Jahr],$B$5,Monatsexporte[Monat],7,Monatsexporte[Konto],B93)</f>
        <v>0</v>
      </c>
      <c r="AB93" s="22">
        <f t="shared" si="36"/>
        <v>0</v>
      </c>
      <c r="AC93" s="15">
        <f>SUMIFS(Monatsexporte[Saldo],Monatsexporte[Jahr],$B$4,Monatsexporte[Monat],8,Monatsexporte[Konto],B93)</f>
        <v>0</v>
      </c>
      <c r="AD93" s="15">
        <f>SUMIFS(Monatsexporte[Saldo],Monatsexporte[Jahr],$B$5,Monatsexporte[Monat],8,Monatsexporte[Konto],B93)</f>
        <v>0</v>
      </c>
      <c r="AE93" s="22">
        <f t="shared" si="37"/>
        <v>0</v>
      </c>
      <c r="AF93" s="15">
        <f>SUMIFS(Monatsexporte[Saldo],Monatsexporte[Jahr],$B$4,Monatsexporte[Monat],9,Monatsexporte[Konto],B93)</f>
        <v>0</v>
      </c>
      <c r="AG93" s="15">
        <f>SUMIFS(Monatsexporte[Saldo],Monatsexporte[Jahr],$B$5,Monatsexporte[Monat],9,Monatsexporte[Konto],B93)</f>
        <v>0</v>
      </c>
      <c r="AH93" s="22">
        <f t="shared" si="38"/>
        <v>0</v>
      </c>
      <c r="AI93" s="15">
        <f>SUMIFS(Monatsexporte[Saldo],Monatsexporte[Jahr],$B$4,Monatsexporte[Monat],10,Monatsexporte[Konto],B93)</f>
        <v>0</v>
      </c>
      <c r="AJ93" s="15">
        <f>SUMIFS(Monatsexporte[Saldo],Monatsexporte[Jahr],$B$5,Monatsexporte[Monat],10,Monatsexporte[Konto],B93)</f>
        <v>0</v>
      </c>
      <c r="AK93" s="22">
        <f t="shared" si="39"/>
        <v>0</v>
      </c>
      <c r="AL93" s="15">
        <f>SUMIFS(Monatsexporte[Saldo],Monatsexporte[Jahr],$B$4,Monatsexporte[Monat],11,Monatsexporte[Konto],B93)</f>
        <v>0</v>
      </c>
      <c r="AM93" s="15">
        <f>SUMIFS(Monatsexporte[Saldo],Monatsexporte[Jahr],$B$5,Monatsexporte[Monat],11,Monatsexporte[Konto],B93)</f>
        <v>0</v>
      </c>
      <c r="AN93" s="22">
        <f t="shared" si="40"/>
        <v>0</v>
      </c>
      <c r="AO93" s="15">
        <f>SUMIFS(Monatsexporte[Saldo],Monatsexporte[Jahr],$B$4,Monatsexporte[Monat],12,Monatsexporte[Konto],B93)</f>
        <v>0</v>
      </c>
      <c r="AP93" s="15">
        <f>SUMIFS(Monatsexporte[Saldo],Monatsexporte[Jahr],$B$5,Monatsexporte[Monat],12,Monatsexporte[Konto],B93)</f>
        <v>0</v>
      </c>
      <c r="AQ93" s="22">
        <f t="shared" si="41"/>
        <v>0</v>
      </c>
    </row>
    <row r="94" spans="1:43" hidden="1" outlineLevel="1" x14ac:dyDescent="0.45">
      <c r="A94" s="10" t="s">
        <v>485</v>
      </c>
      <c r="B94" s="39">
        <v>7004030</v>
      </c>
      <c r="C94" s="15">
        <v>4823</v>
      </c>
      <c r="D94" s="15">
        <f ca="1">SUMIFS(Monatsexporte[Saldo],Monatsexporte[Jahr],$B$4,Monatsexporte[Monat],"&lt;="&amp;$B$8,Monatsexporte[Konto],B94)</f>
        <v>14468.79</v>
      </c>
      <c r="E94" s="15">
        <f ca="1">SUMIFS(Monatsexporte[Saldo],Monatsexporte[Jahr],$B$5,Monatsexporte[Monat],"&lt;="&amp;$B$8,Monatsexporte[Konto],B94)</f>
        <v>0</v>
      </c>
      <c r="F94" s="15">
        <f t="shared" ca="1" si="28"/>
        <v>14468.79</v>
      </c>
      <c r="G94" s="22">
        <f t="shared" ca="1" si="29"/>
        <v>0</v>
      </c>
      <c r="H94" s="15">
        <f>SUMIFS(Monatsexporte[Saldo],Monatsexporte[Jahr],$B$4,Monatsexporte[Monat],1,Monatsexporte[Konto],B94)</f>
        <v>0</v>
      </c>
      <c r="I94" s="15">
        <f>SUMIFS(Monatsexporte[Saldo],Monatsexporte[Jahr],$B$5,Monatsexporte[Monat],1,Monatsexporte[Konto],B94)</f>
        <v>0</v>
      </c>
      <c r="J94" s="22">
        <f t="shared" si="30"/>
        <v>0</v>
      </c>
      <c r="K94" s="15">
        <f>SUMIFS(Monatsexporte[Saldo],Monatsexporte[Jahr],$B$4,Monatsexporte[Monat],2,Monatsexporte[Konto],B94)</f>
        <v>0</v>
      </c>
      <c r="L94" s="15">
        <f>SUMIFS(Monatsexporte[Saldo],Monatsexporte[Jahr],$B$5,Monatsexporte[Monat],2,Monatsexporte[Konto],B94)</f>
        <v>0</v>
      </c>
      <c r="M94" s="22">
        <f t="shared" si="31"/>
        <v>0</v>
      </c>
      <c r="N94" s="15">
        <f>SUMIFS(Monatsexporte[Saldo],Monatsexporte[Jahr],$B$4,Monatsexporte[Monat],3,Monatsexporte[Konto],B94)</f>
        <v>4822.93</v>
      </c>
      <c r="O94" s="15">
        <f>SUMIFS(Monatsexporte[Saldo],Monatsexporte[Jahr],$B$5,Monatsexporte[Monat],3,Monatsexporte[Konto],B94)</f>
        <v>0</v>
      </c>
      <c r="P94" s="22">
        <f t="shared" si="32"/>
        <v>0</v>
      </c>
      <c r="Q94" s="15">
        <f>SUMIFS(Monatsexporte[Saldo],Monatsexporte[Jahr],$B$4,Monatsexporte[Monat],4,Monatsexporte[Konto],B94)</f>
        <v>4822.93</v>
      </c>
      <c r="R94" s="15">
        <f>SUMIFS(Monatsexporte[Saldo],Monatsexporte[Jahr],$B$5,Monatsexporte[Monat],4,Monatsexporte[Konto],B94)</f>
        <v>0</v>
      </c>
      <c r="S94" s="22">
        <f t="shared" si="33"/>
        <v>0</v>
      </c>
      <c r="T94" s="15">
        <f>SUMIFS(Monatsexporte[Saldo],Monatsexporte[Jahr],$B$4,Monatsexporte[Monat],5,Monatsexporte[Konto],B94)</f>
        <v>4822.93</v>
      </c>
      <c r="U94" s="15">
        <f>SUMIFS(Monatsexporte[Saldo],Monatsexporte[Jahr],$B$5,Monatsexporte[Monat],5,Monatsexporte[Konto],B94)</f>
        <v>0</v>
      </c>
      <c r="V94" s="22">
        <f t="shared" si="34"/>
        <v>0</v>
      </c>
      <c r="W94" s="15">
        <f>SUMIFS(Monatsexporte[Saldo],Monatsexporte[Jahr],$B$4,Monatsexporte[Monat],6,Monatsexporte[Konto],B94)</f>
        <v>0</v>
      </c>
      <c r="X94" s="15">
        <f>SUMIFS(Monatsexporte[Saldo],Monatsexporte[Jahr],$B$5,Monatsexporte[Monat],6,Monatsexporte[Konto],B94)</f>
        <v>0</v>
      </c>
      <c r="Y94" s="22">
        <f t="shared" si="35"/>
        <v>0</v>
      </c>
      <c r="Z94" s="15">
        <f>SUMIFS(Monatsexporte[Saldo],Monatsexporte[Jahr],$B$4,Monatsexporte[Monat],7,Monatsexporte[Konto],B94)</f>
        <v>0</v>
      </c>
      <c r="AA94" s="15">
        <f>SUMIFS(Monatsexporte[Saldo],Monatsexporte[Jahr],$B$5,Monatsexporte[Monat],7,Monatsexporte[Konto],B94)</f>
        <v>0</v>
      </c>
      <c r="AB94" s="22">
        <f t="shared" si="36"/>
        <v>0</v>
      </c>
      <c r="AC94" s="15">
        <f>SUMIFS(Monatsexporte[Saldo],Monatsexporte[Jahr],$B$4,Monatsexporte[Monat],8,Monatsexporte[Konto],B94)</f>
        <v>0</v>
      </c>
      <c r="AD94" s="15">
        <f>SUMIFS(Monatsexporte[Saldo],Monatsexporte[Jahr],$B$5,Monatsexporte[Monat],8,Monatsexporte[Konto],B94)</f>
        <v>0</v>
      </c>
      <c r="AE94" s="22">
        <f t="shared" si="37"/>
        <v>0</v>
      </c>
      <c r="AF94" s="15">
        <f>SUMIFS(Monatsexporte[Saldo],Monatsexporte[Jahr],$B$4,Monatsexporte[Monat],9,Monatsexporte[Konto],B94)</f>
        <v>0</v>
      </c>
      <c r="AG94" s="15">
        <f>SUMIFS(Monatsexporte[Saldo],Monatsexporte[Jahr],$B$5,Monatsexporte[Monat],9,Monatsexporte[Konto],B94)</f>
        <v>0</v>
      </c>
      <c r="AH94" s="22">
        <f t="shared" si="38"/>
        <v>0</v>
      </c>
      <c r="AI94" s="15">
        <f>SUMIFS(Monatsexporte[Saldo],Monatsexporte[Jahr],$B$4,Monatsexporte[Monat],10,Monatsexporte[Konto],B94)</f>
        <v>0</v>
      </c>
      <c r="AJ94" s="15">
        <f>SUMIFS(Monatsexporte[Saldo],Monatsexporte[Jahr],$B$5,Monatsexporte[Monat],10,Monatsexporte[Konto],B94)</f>
        <v>0</v>
      </c>
      <c r="AK94" s="22">
        <f t="shared" si="39"/>
        <v>0</v>
      </c>
      <c r="AL94" s="15">
        <f>SUMIFS(Monatsexporte[Saldo],Monatsexporte[Jahr],$B$4,Monatsexporte[Monat],11,Monatsexporte[Konto],B94)</f>
        <v>0</v>
      </c>
      <c r="AM94" s="15">
        <f>SUMIFS(Monatsexporte[Saldo],Monatsexporte[Jahr],$B$5,Monatsexporte[Monat],11,Monatsexporte[Konto],B94)</f>
        <v>0</v>
      </c>
      <c r="AN94" s="22">
        <f t="shared" si="40"/>
        <v>0</v>
      </c>
      <c r="AO94" s="15">
        <f>SUMIFS(Monatsexporte[Saldo],Monatsexporte[Jahr],$B$4,Monatsexporte[Monat],12,Monatsexporte[Konto],B94)</f>
        <v>0</v>
      </c>
      <c r="AP94" s="15">
        <f>SUMIFS(Monatsexporte[Saldo],Monatsexporte[Jahr],$B$5,Monatsexporte[Monat],12,Monatsexporte[Konto],B94)</f>
        <v>0</v>
      </c>
      <c r="AQ94" s="22">
        <f t="shared" si="41"/>
        <v>0</v>
      </c>
    </row>
    <row r="95" spans="1:43" hidden="1" outlineLevel="1" x14ac:dyDescent="0.45">
      <c r="A95" s="10" t="s">
        <v>486</v>
      </c>
      <c r="B95" s="39">
        <v>690151020</v>
      </c>
      <c r="C95" s="15">
        <v>2208</v>
      </c>
      <c r="D95" s="15">
        <f ca="1">SUMIFS(Monatsexporte[Saldo],Monatsexporte[Jahr],$B$4,Monatsexporte[Monat],"&lt;="&amp;$B$8,Monatsexporte[Konto],B95)</f>
        <v>6623.4600000000009</v>
      </c>
      <c r="E95" s="15">
        <f ca="1">SUMIFS(Monatsexporte[Saldo],Monatsexporte[Jahr],$B$5,Monatsexporte[Monat],"&lt;="&amp;$B$8,Monatsexporte[Konto],B95)</f>
        <v>0</v>
      </c>
      <c r="F95" s="15">
        <f t="shared" ca="1" si="28"/>
        <v>6623.4600000000009</v>
      </c>
      <c r="G95" s="22">
        <f t="shared" ca="1" si="29"/>
        <v>0</v>
      </c>
      <c r="H95" s="15">
        <f>SUMIFS(Monatsexporte[Saldo],Monatsexporte[Jahr],$B$4,Monatsexporte[Monat],1,Monatsexporte[Konto],B95)</f>
        <v>0</v>
      </c>
      <c r="I95" s="15">
        <f>SUMIFS(Monatsexporte[Saldo],Monatsexporte[Jahr],$B$5,Monatsexporte[Monat],1,Monatsexporte[Konto],B95)</f>
        <v>0</v>
      </c>
      <c r="J95" s="22">
        <f t="shared" si="30"/>
        <v>0</v>
      </c>
      <c r="K95" s="15">
        <f>SUMIFS(Monatsexporte[Saldo],Monatsexporte[Jahr],$B$4,Monatsexporte[Monat],2,Monatsexporte[Konto],B95)</f>
        <v>0</v>
      </c>
      <c r="L95" s="15">
        <f>SUMIFS(Monatsexporte[Saldo],Monatsexporte[Jahr],$B$5,Monatsexporte[Monat],2,Monatsexporte[Konto],B95)</f>
        <v>0</v>
      </c>
      <c r="M95" s="22">
        <f t="shared" si="31"/>
        <v>0</v>
      </c>
      <c r="N95" s="15">
        <f>SUMIFS(Monatsexporte[Saldo],Monatsexporte[Jahr],$B$4,Monatsexporte[Monat],3,Monatsexporte[Konto],B95)</f>
        <v>2207.8200000000002</v>
      </c>
      <c r="O95" s="15">
        <f>SUMIFS(Monatsexporte[Saldo],Monatsexporte[Jahr],$B$5,Monatsexporte[Monat],3,Monatsexporte[Konto],B95)</f>
        <v>0</v>
      </c>
      <c r="P95" s="22">
        <f t="shared" si="32"/>
        <v>0</v>
      </c>
      <c r="Q95" s="15">
        <f>SUMIFS(Monatsexporte[Saldo],Monatsexporte[Jahr],$B$4,Monatsexporte[Monat],4,Monatsexporte[Konto],B95)</f>
        <v>2207.8200000000002</v>
      </c>
      <c r="R95" s="15">
        <f>SUMIFS(Monatsexporte[Saldo],Monatsexporte[Jahr],$B$5,Monatsexporte[Monat],4,Monatsexporte[Konto],B95)</f>
        <v>0</v>
      </c>
      <c r="S95" s="22">
        <f t="shared" si="33"/>
        <v>0</v>
      </c>
      <c r="T95" s="15">
        <f>SUMIFS(Monatsexporte[Saldo],Monatsexporte[Jahr],$B$4,Monatsexporte[Monat],5,Monatsexporte[Konto],B95)</f>
        <v>2207.8200000000002</v>
      </c>
      <c r="U95" s="15">
        <f>SUMIFS(Monatsexporte[Saldo],Monatsexporte[Jahr],$B$5,Monatsexporte[Monat],5,Monatsexporte[Konto],B95)</f>
        <v>0</v>
      </c>
      <c r="V95" s="22">
        <f t="shared" si="34"/>
        <v>0</v>
      </c>
      <c r="W95" s="15">
        <f>SUMIFS(Monatsexporte[Saldo],Monatsexporte[Jahr],$B$4,Monatsexporte[Monat],6,Monatsexporte[Konto],B95)</f>
        <v>0</v>
      </c>
      <c r="X95" s="15">
        <f>SUMIFS(Monatsexporte[Saldo],Monatsexporte[Jahr],$B$5,Monatsexporte[Monat],6,Monatsexporte[Konto],B95)</f>
        <v>0</v>
      </c>
      <c r="Y95" s="22">
        <f t="shared" si="35"/>
        <v>0</v>
      </c>
      <c r="Z95" s="15">
        <f>SUMIFS(Monatsexporte[Saldo],Monatsexporte[Jahr],$B$4,Monatsexporte[Monat],7,Monatsexporte[Konto],B95)</f>
        <v>0</v>
      </c>
      <c r="AA95" s="15">
        <f>SUMIFS(Monatsexporte[Saldo],Monatsexporte[Jahr],$B$5,Monatsexporte[Monat],7,Monatsexporte[Konto],B95)</f>
        <v>0</v>
      </c>
      <c r="AB95" s="22">
        <f t="shared" si="36"/>
        <v>0</v>
      </c>
      <c r="AC95" s="15">
        <f>SUMIFS(Monatsexporte[Saldo],Monatsexporte[Jahr],$B$4,Monatsexporte[Monat],8,Monatsexporte[Konto],B95)</f>
        <v>0</v>
      </c>
      <c r="AD95" s="15">
        <f>SUMIFS(Monatsexporte[Saldo],Monatsexporte[Jahr],$B$5,Monatsexporte[Monat],8,Monatsexporte[Konto],B95)</f>
        <v>0</v>
      </c>
      <c r="AE95" s="22">
        <f t="shared" si="37"/>
        <v>0</v>
      </c>
      <c r="AF95" s="15">
        <f>SUMIFS(Monatsexporte[Saldo],Monatsexporte[Jahr],$B$4,Monatsexporte[Monat],9,Monatsexporte[Konto],B95)</f>
        <v>0</v>
      </c>
      <c r="AG95" s="15">
        <f>SUMIFS(Monatsexporte[Saldo],Monatsexporte[Jahr],$B$5,Monatsexporte[Monat],9,Monatsexporte[Konto],B95)</f>
        <v>0</v>
      </c>
      <c r="AH95" s="22">
        <f t="shared" si="38"/>
        <v>0</v>
      </c>
      <c r="AI95" s="15">
        <f>SUMIFS(Monatsexporte[Saldo],Monatsexporte[Jahr],$B$4,Monatsexporte[Monat],10,Monatsexporte[Konto],B95)</f>
        <v>0</v>
      </c>
      <c r="AJ95" s="15">
        <f>SUMIFS(Monatsexporte[Saldo],Monatsexporte[Jahr],$B$5,Monatsexporte[Monat],10,Monatsexporte[Konto],B95)</f>
        <v>0</v>
      </c>
      <c r="AK95" s="22">
        <f t="shared" si="39"/>
        <v>0</v>
      </c>
      <c r="AL95" s="15">
        <f>SUMIFS(Monatsexporte[Saldo],Monatsexporte[Jahr],$B$4,Monatsexporte[Monat],11,Monatsexporte[Konto],B95)</f>
        <v>0</v>
      </c>
      <c r="AM95" s="15">
        <f>SUMIFS(Monatsexporte[Saldo],Monatsexporte[Jahr],$B$5,Monatsexporte[Monat],11,Monatsexporte[Konto],B95)</f>
        <v>0</v>
      </c>
      <c r="AN95" s="22">
        <f t="shared" si="40"/>
        <v>0</v>
      </c>
      <c r="AO95" s="15">
        <f>SUMIFS(Monatsexporte[Saldo],Monatsexporte[Jahr],$B$4,Monatsexporte[Monat],12,Monatsexporte[Konto],B95)</f>
        <v>0</v>
      </c>
      <c r="AP95" s="15">
        <f>SUMIFS(Monatsexporte[Saldo],Monatsexporte[Jahr],$B$5,Monatsexporte[Monat],12,Monatsexporte[Konto],B95)</f>
        <v>0</v>
      </c>
      <c r="AQ95" s="22">
        <f t="shared" si="41"/>
        <v>0</v>
      </c>
    </row>
    <row r="96" spans="1:43" hidden="1" outlineLevel="1" x14ac:dyDescent="0.45">
      <c r="A96" s="10" t="s">
        <v>487</v>
      </c>
      <c r="B96" s="39">
        <v>690151520</v>
      </c>
      <c r="C96" s="15">
        <v>800</v>
      </c>
      <c r="D96" s="15">
        <f ca="1">SUMIFS(Monatsexporte[Saldo],Monatsexporte[Jahr],$B$4,Monatsexporte[Monat],"&lt;="&amp;$B$8,Monatsexporte[Konto],B96)</f>
        <v>2400</v>
      </c>
      <c r="E96" s="15">
        <f ca="1">SUMIFS(Monatsexporte[Saldo],Monatsexporte[Jahr],$B$5,Monatsexporte[Monat],"&lt;="&amp;$B$8,Monatsexporte[Konto],B96)</f>
        <v>0</v>
      </c>
      <c r="F96" s="15">
        <f t="shared" ca="1" si="28"/>
        <v>2400</v>
      </c>
      <c r="G96" s="22">
        <f t="shared" ca="1" si="29"/>
        <v>0</v>
      </c>
      <c r="H96" s="15">
        <f>SUMIFS(Monatsexporte[Saldo],Monatsexporte[Jahr],$B$4,Monatsexporte[Monat],1,Monatsexporte[Konto],B96)</f>
        <v>0</v>
      </c>
      <c r="I96" s="15">
        <f>SUMIFS(Monatsexporte[Saldo],Monatsexporte[Jahr],$B$5,Monatsexporte[Monat],1,Monatsexporte[Konto],B96)</f>
        <v>0</v>
      </c>
      <c r="J96" s="22">
        <f t="shared" si="30"/>
        <v>0</v>
      </c>
      <c r="K96" s="15">
        <f>SUMIFS(Monatsexporte[Saldo],Monatsexporte[Jahr],$B$4,Monatsexporte[Monat],2,Monatsexporte[Konto],B96)</f>
        <v>0</v>
      </c>
      <c r="L96" s="15">
        <f>SUMIFS(Monatsexporte[Saldo],Monatsexporte[Jahr],$B$5,Monatsexporte[Monat],2,Monatsexporte[Konto],B96)</f>
        <v>0</v>
      </c>
      <c r="M96" s="22">
        <f t="shared" si="31"/>
        <v>0</v>
      </c>
      <c r="N96" s="15">
        <f>SUMIFS(Monatsexporte[Saldo],Monatsexporte[Jahr],$B$4,Monatsexporte[Monat],3,Monatsexporte[Konto],B96)</f>
        <v>800</v>
      </c>
      <c r="O96" s="15">
        <f>SUMIFS(Monatsexporte[Saldo],Monatsexporte[Jahr],$B$5,Monatsexporte[Monat],3,Monatsexporte[Konto],B96)</f>
        <v>0</v>
      </c>
      <c r="P96" s="22">
        <f t="shared" si="32"/>
        <v>0</v>
      </c>
      <c r="Q96" s="15">
        <f>SUMIFS(Monatsexporte[Saldo],Monatsexporte[Jahr],$B$4,Monatsexporte[Monat],4,Monatsexporte[Konto],B96)</f>
        <v>800</v>
      </c>
      <c r="R96" s="15">
        <f>SUMIFS(Monatsexporte[Saldo],Monatsexporte[Jahr],$B$5,Monatsexporte[Monat],4,Monatsexporte[Konto],B96)</f>
        <v>0</v>
      </c>
      <c r="S96" s="22">
        <f t="shared" si="33"/>
        <v>0</v>
      </c>
      <c r="T96" s="15">
        <f>SUMIFS(Monatsexporte[Saldo],Monatsexporte[Jahr],$B$4,Monatsexporte[Monat],5,Monatsexporte[Konto],B96)</f>
        <v>800</v>
      </c>
      <c r="U96" s="15">
        <f>SUMIFS(Monatsexporte[Saldo],Monatsexporte[Jahr],$B$5,Monatsexporte[Monat],5,Monatsexporte[Konto],B96)</f>
        <v>0</v>
      </c>
      <c r="V96" s="22">
        <f t="shared" si="34"/>
        <v>0</v>
      </c>
      <c r="W96" s="15">
        <f>SUMIFS(Monatsexporte[Saldo],Monatsexporte[Jahr],$B$4,Monatsexporte[Monat],6,Monatsexporte[Konto],B96)</f>
        <v>0</v>
      </c>
      <c r="X96" s="15">
        <f>SUMIFS(Monatsexporte[Saldo],Monatsexporte[Jahr],$B$5,Monatsexporte[Monat],6,Monatsexporte[Konto],B96)</f>
        <v>0</v>
      </c>
      <c r="Y96" s="22">
        <f t="shared" si="35"/>
        <v>0</v>
      </c>
      <c r="Z96" s="15">
        <f>SUMIFS(Monatsexporte[Saldo],Monatsexporte[Jahr],$B$4,Monatsexporte[Monat],7,Monatsexporte[Konto],B96)</f>
        <v>0</v>
      </c>
      <c r="AA96" s="15">
        <f>SUMIFS(Monatsexporte[Saldo],Monatsexporte[Jahr],$B$5,Monatsexporte[Monat],7,Monatsexporte[Konto],B96)</f>
        <v>0</v>
      </c>
      <c r="AB96" s="22">
        <f t="shared" si="36"/>
        <v>0</v>
      </c>
      <c r="AC96" s="15">
        <f>SUMIFS(Monatsexporte[Saldo],Monatsexporte[Jahr],$B$4,Monatsexporte[Monat],8,Monatsexporte[Konto],B96)</f>
        <v>0</v>
      </c>
      <c r="AD96" s="15">
        <f>SUMIFS(Monatsexporte[Saldo],Monatsexporte[Jahr],$B$5,Monatsexporte[Monat],8,Monatsexporte[Konto],B96)</f>
        <v>0</v>
      </c>
      <c r="AE96" s="22">
        <f t="shared" si="37"/>
        <v>0</v>
      </c>
      <c r="AF96" s="15">
        <f>SUMIFS(Monatsexporte[Saldo],Monatsexporte[Jahr],$B$4,Monatsexporte[Monat],9,Monatsexporte[Konto],B96)</f>
        <v>0</v>
      </c>
      <c r="AG96" s="15">
        <f>SUMIFS(Monatsexporte[Saldo],Monatsexporte[Jahr],$B$5,Monatsexporte[Monat],9,Monatsexporte[Konto],B96)</f>
        <v>0</v>
      </c>
      <c r="AH96" s="22">
        <f t="shared" si="38"/>
        <v>0</v>
      </c>
      <c r="AI96" s="15">
        <f>SUMIFS(Monatsexporte[Saldo],Monatsexporte[Jahr],$B$4,Monatsexporte[Monat],10,Monatsexporte[Konto],B96)</f>
        <v>0</v>
      </c>
      <c r="AJ96" s="15">
        <f>SUMIFS(Monatsexporte[Saldo],Monatsexporte[Jahr],$B$5,Monatsexporte[Monat],10,Monatsexporte[Konto],B96)</f>
        <v>0</v>
      </c>
      <c r="AK96" s="22">
        <f t="shared" si="39"/>
        <v>0</v>
      </c>
      <c r="AL96" s="15">
        <f>SUMIFS(Monatsexporte[Saldo],Monatsexporte[Jahr],$B$4,Monatsexporte[Monat],11,Monatsexporte[Konto],B96)</f>
        <v>0</v>
      </c>
      <c r="AM96" s="15">
        <f>SUMIFS(Monatsexporte[Saldo],Monatsexporte[Jahr],$B$5,Monatsexporte[Monat],11,Monatsexporte[Konto],B96)</f>
        <v>0</v>
      </c>
      <c r="AN96" s="22">
        <f t="shared" si="40"/>
        <v>0</v>
      </c>
      <c r="AO96" s="15">
        <f>SUMIFS(Monatsexporte[Saldo],Monatsexporte[Jahr],$B$4,Monatsexporte[Monat],12,Monatsexporte[Konto],B96)</f>
        <v>0</v>
      </c>
      <c r="AP96" s="15">
        <f>SUMIFS(Monatsexporte[Saldo],Monatsexporte[Jahr],$B$5,Monatsexporte[Monat],12,Monatsexporte[Konto],B96)</f>
        <v>0</v>
      </c>
      <c r="AQ96" s="22">
        <f t="shared" si="41"/>
        <v>0</v>
      </c>
    </row>
    <row r="97" spans="1:43" hidden="1" outlineLevel="1" x14ac:dyDescent="0.45">
      <c r="A97" s="10" t="s">
        <v>488</v>
      </c>
      <c r="B97" s="39">
        <v>690151527</v>
      </c>
      <c r="C97" s="15">
        <v>200</v>
      </c>
      <c r="D97" s="15">
        <f ca="1">SUMIFS(Monatsexporte[Saldo],Monatsexporte[Jahr],$B$4,Monatsexporte[Monat],"&lt;="&amp;$B$8,Monatsexporte[Konto],B97)</f>
        <v>600</v>
      </c>
      <c r="E97" s="15">
        <f ca="1">SUMIFS(Monatsexporte[Saldo],Monatsexporte[Jahr],$B$5,Monatsexporte[Monat],"&lt;="&amp;$B$8,Monatsexporte[Konto],B97)</f>
        <v>0</v>
      </c>
      <c r="F97" s="15">
        <f t="shared" ca="1" si="28"/>
        <v>600</v>
      </c>
      <c r="G97" s="22">
        <f t="shared" ca="1" si="29"/>
        <v>0</v>
      </c>
      <c r="H97" s="15">
        <f>SUMIFS(Monatsexporte[Saldo],Monatsexporte[Jahr],$B$4,Monatsexporte[Monat],1,Monatsexporte[Konto],B97)</f>
        <v>0</v>
      </c>
      <c r="I97" s="15">
        <f>SUMIFS(Monatsexporte[Saldo],Monatsexporte[Jahr],$B$5,Monatsexporte[Monat],1,Monatsexporte[Konto],B97)</f>
        <v>0</v>
      </c>
      <c r="J97" s="22">
        <f t="shared" si="30"/>
        <v>0</v>
      </c>
      <c r="K97" s="15">
        <f>SUMIFS(Monatsexporte[Saldo],Monatsexporte[Jahr],$B$4,Monatsexporte[Monat],2,Monatsexporte[Konto],B97)</f>
        <v>0</v>
      </c>
      <c r="L97" s="15">
        <f>SUMIFS(Monatsexporte[Saldo],Monatsexporte[Jahr],$B$5,Monatsexporte[Monat],2,Monatsexporte[Konto],B97)</f>
        <v>0</v>
      </c>
      <c r="M97" s="22">
        <f t="shared" si="31"/>
        <v>0</v>
      </c>
      <c r="N97" s="15">
        <f>SUMIFS(Monatsexporte[Saldo],Monatsexporte[Jahr],$B$4,Monatsexporte[Monat],3,Monatsexporte[Konto],B97)</f>
        <v>200</v>
      </c>
      <c r="O97" s="15">
        <f>SUMIFS(Monatsexporte[Saldo],Monatsexporte[Jahr],$B$5,Monatsexporte[Monat],3,Monatsexporte[Konto],B97)</f>
        <v>0</v>
      </c>
      <c r="P97" s="22">
        <f t="shared" si="32"/>
        <v>0</v>
      </c>
      <c r="Q97" s="15">
        <f>SUMIFS(Monatsexporte[Saldo],Monatsexporte[Jahr],$B$4,Monatsexporte[Monat],4,Monatsexporte[Konto],B97)</f>
        <v>200</v>
      </c>
      <c r="R97" s="15">
        <f>SUMIFS(Monatsexporte[Saldo],Monatsexporte[Jahr],$B$5,Monatsexporte[Monat],4,Monatsexporte[Konto],B97)</f>
        <v>0</v>
      </c>
      <c r="S97" s="22">
        <f t="shared" si="33"/>
        <v>0</v>
      </c>
      <c r="T97" s="15">
        <f>SUMIFS(Monatsexporte[Saldo],Monatsexporte[Jahr],$B$4,Monatsexporte[Monat],5,Monatsexporte[Konto],B97)</f>
        <v>200</v>
      </c>
      <c r="U97" s="15">
        <f>SUMIFS(Monatsexporte[Saldo],Monatsexporte[Jahr],$B$5,Monatsexporte[Monat],5,Monatsexporte[Konto],B97)</f>
        <v>0</v>
      </c>
      <c r="V97" s="22">
        <f t="shared" si="34"/>
        <v>0</v>
      </c>
      <c r="W97" s="15">
        <f>SUMIFS(Monatsexporte[Saldo],Monatsexporte[Jahr],$B$4,Monatsexporte[Monat],6,Monatsexporte[Konto],B97)</f>
        <v>0</v>
      </c>
      <c r="X97" s="15">
        <f>SUMIFS(Monatsexporte[Saldo],Monatsexporte[Jahr],$B$5,Monatsexporte[Monat],6,Monatsexporte[Konto],B97)</f>
        <v>0</v>
      </c>
      <c r="Y97" s="22">
        <f t="shared" si="35"/>
        <v>0</v>
      </c>
      <c r="Z97" s="15">
        <f>SUMIFS(Monatsexporte[Saldo],Monatsexporte[Jahr],$B$4,Monatsexporte[Monat],7,Monatsexporte[Konto],B97)</f>
        <v>0</v>
      </c>
      <c r="AA97" s="15">
        <f>SUMIFS(Monatsexporte[Saldo],Monatsexporte[Jahr],$B$5,Monatsexporte[Monat],7,Monatsexporte[Konto],B97)</f>
        <v>0</v>
      </c>
      <c r="AB97" s="22">
        <f t="shared" si="36"/>
        <v>0</v>
      </c>
      <c r="AC97" s="15">
        <f>SUMIFS(Monatsexporte[Saldo],Monatsexporte[Jahr],$B$4,Monatsexporte[Monat],8,Monatsexporte[Konto],B97)</f>
        <v>0</v>
      </c>
      <c r="AD97" s="15">
        <f>SUMIFS(Monatsexporte[Saldo],Monatsexporte[Jahr],$B$5,Monatsexporte[Monat],8,Monatsexporte[Konto],B97)</f>
        <v>0</v>
      </c>
      <c r="AE97" s="22">
        <f t="shared" si="37"/>
        <v>0</v>
      </c>
      <c r="AF97" s="15">
        <f>SUMIFS(Monatsexporte[Saldo],Monatsexporte[Jahr],$B$4,Monatsexporte[Monat],9,Monatsexporte[Konto],B97)</f>
        <v>0</v>
      </c>
      <c r="AG97" s="15">
        <f>SUMIFS(Monatsexporte[Saldo],Monatsexporte[Jahr],$B$5,Monatsexporte[Monat],9,Monatsexporte[Konto],B97)</f>
        <v>0</v>
      </c>
      <c r="AH97" s="22">
        <f t="shared" si="38"/>
        <v>0</v>
      </c>
      <c r="AI97" s="15">
        <f>SUMIFS(Monatsexporte[Saldo],Monatsexporte[Jahr],$B$4,Monatsexporte[Monat],10,Monatsexporte[Konto],B97)</f>
        <v>0</v>
      </c>
      <c r="AJ97" s="15">
        <f>SUMIFS(Monatsexporte[Saldo],Monatsexporte[Jahr],$B$5,Monatsexporte[Monat],10,Monatsexporte[Konto],B97)</f>
        <v>0</v>
      </c>
      <c r="AK97" s="22">
        <f t="shared" si="39"/>
        <v>0</v>
      </c>
      <c r="AL97" s="15">
        <f>SUMIFS(Monatsexporte[Saldo],Monatsexporte[Jahr],$B$4,Monatsexporte[Monat],11,Monatsexporte[Konto],B97)</f>
        <v>0</v>
      </c>
      <c r="AM97" s="15">
        <f>SUMIFS(Monatsexporte[Saldo],Monatsexporte[Jahr],$B$5,Monatsexporte[Monat],11,Monatsexporte[Konto],B97)</f>
        <v>0</v>
      </c>
      <c r="AN97" s="22">
        <f t="shared" si="40"/>
        <v>0</v>
      </c>
      <c r="AO97" s="15">
        <f>SUMIFS(Monatsexporte[Saldo],Monatsexporte[Jahr],$B$4,Monatsexporte[Monat],12,Monatsexporte[Konto],B97)</f>
        <v>0</v>
      </c>
      <c r="AP97" s="15">
        <f>SUMIFS(Monatsexporte[Saldo],Monatsexporte[Jahr],$B$5,Monatsexporte[Monat],12,Monatsexporte[Konto],B97)</f>
        <v>0</v>
      </c>
      <c r="AQ97" s="22">
        <f t="shared" si="41"/>
        <v>0</v>
      </c>
    </row>
    <row r="98" spans="1:43" hidden="1" outlineLevel="1" x14ac:dyDescent="0.45">
      <c r="A98" s="10" t="s">
        <v>489</v>
      </c>
      <c r="B98" s="39">
        <v>690152510</v>
      </c>
      <c r="C98" s="15">
        <v>3564</v>
      </c>
      <c r="D98" s="15">
        <f ca="1">SUMIFS(Monatsexporte[Saldo],Monatsexporte[Jahr],$B$4,Monatsexporte[Monat],"&lt;="&amp;$B$8,Monatsexporte[Konto],B98)</f>
        <v>10692.599999999999</v>
      </c>
      <c r="E98" s="15">
        <f ca="1">SUMIFS(Monatsexporte[Saldo],Monatsexporte[Jahr],$B$5,Monatsexporte[Monat],"&lt;="&amp;$B$8,Monatsexporte[Konto],B98)</f>
        <v>0</v>
      </c>
      <c r="F98" s="15">
        <f t="shared" ca="1" si="28"/>
        <v>10692.599999999999</v>
      </c>
      <c r="G98" s="22">
        <f t="shared" ca="1" si="29"/>
        <v>0</v>
      </c>
      <c r="H98" s="15">
        <f>SUMIFS(Monatsexporte[Saldo],Monatsexporte[Jahr],$B$4,Monatsexporte[Monat],1,Monatsexporte[Konto],B98)</f>
        <v>0</v>
      </c>
      <c r="I98" s="15">
        <f>SUMIFS(Monatsexporte[Saldo],Monatsexporte[Jahr],$B$5,Monatsexporte[Monat],1,Monatsexporte[Konto],B98)</f>
        <v>0</v>
      </c>
      <c r="J98" s="22">
        <f t="shared" si="30"/>
        <v>0</v>
      </c>
      <c r="K98" s="15">
        <f>SUMIFS(Monatsexporte[Saldo],Monatsexporte[Jahr],$B$4,Monatsexporte[Monat],2,Monatsexporte[Konto],B98)</f>
        <v>0</v>
      </c>
      <c r="L98" s="15">
        <f>SUMIFS(Monatsexporte[Saldo],Monatsexporte[Jahr],$B$5,Monatsexporte[Monat],2,Monatsexporte[Konto],B98)</f>
        <v>0</v>
      </c>
      <c r="M98" s="22">
        <f t="shared" si="31"/>
        <v>0</v>
      </c>
      <c r="N98" s="15">
        <f>SUMIFS(Monatsexporte[Saldo],Monatsexporte[Jahr],$B$4,Monatsexporte[Monat],3,Monatsexporte[Konto],B98)</f>
        <v>3564.2</v>
      </c>
      <c r="O98" s="15">
        <f>SUMIFS(Monatsexporte[Saldo],Monatsexporte[Jahr],$B$5,Monatsexporte[Monat],3,Monatsexporte[Konto],B98)</f>
        <v>0</v>
      </c>
      <c r="P98" s="22">
        <f t="shared" si="32"/>
        <v>0</v>
      </c>
      <c r="Q98" s="15">
        <f>SUMIFS(Monatsexporte[Saldo],Monatsexporte[Jahr],$B$4,Monatsexporte[Monat],4,Monatsexporte[Konto],B98)</f>
        <v>3564.2</v>
      </c>
      <c r="R98" s="15">
        <f>SUMIFS(Monatsexporte[Saldo],Monatsexporte[Jahr],$B$5,Monatsexporte[Monat],4,Monatsexporte[Konto],B98)</f>
        <v>0</v>
      </c>
      <c r="S98" s="22">
        <f t="shared" si="33"/>
        <v>0</v>
      </c>
      <c r="T98" s="15">
        <f>SUMIFS(Monatsexporte[Saldo],Monatsexporte[Jahr],$B$4,Monatsexporte[Monat],5,Monatsexporte[Konto],B98)</f>
        <v>3564.2</v>
      </c>
      <c r="U98" s="15">
        <f>SUMIFS(Monatsexporte[Saldo],Monatsexporte[Jahr],$B$5,Monatsexporte[Monat],5,Monatsexporte[Konto],B98)</f>
        <v>0</v>
      </c>
      <c r="V98" s="22">
        <f t="shared" si="34"/>
        <v>0</v>
      </c>
      <c r="W98" s="15">
        <f>SUMIFS(Monatsexporte[Saldo],Monatsexporte[Jahr],$B$4,Monatsexporte[Monat],6,Monatsexporte[Konto],B98)</f>
        <v>0</v>
      </c>
      <c r="X98" s="15">
        <f>SUMIFS(Monatsexporte[Saldo],Monatsexporte[Jahr],$B$5,Monatsexporte[Monat],6,Monatsexporte[Konto],B98)</f>
        <v>0</v>
      </c>
      <c r="Y98" s="22">
        <f t="shared" si="35"/>
        <v>0</v>
      </c>
      <c r="Z98" s="15">
        <f>SUMIFS(Monatsexporte[Saldo],Monatsexporte[Jahr],$B$4,Monatsexporte[Monat],7,Monatsexporte[Konto],B98)</f>
        <v>0</v>
      </c>
      <c r="AA98" s="15">
        <f>SUMIFS(Monatsexporte[Saldo],Monatsexporte[Jahr],$B$5,Monatsexporte[Monat],7,Monatsexporte[Konto],B98)</f>
        <v>0</v>
      </c>
      <c r="AB98" s="22">
        <f t="shared" si="36"/>
        <v>0</v>
      </c>
      <c r="AC98" s="15">
        <f>SUMIFS(Monatsexporte[Saldo],Monatsexporte[Jahr],$B$4,Monatsexporte[Monat],8,Monatsexporte[Konto],B98)</f>
        <v>0</v>
      </c>
      <c r="AD98" s="15">
        <f>SUMIFS(Monatsexporte[Saldo],Monatsexporte[Jahr],$B$5,Monatsexporte[Monat],8,Monatsexporte[Konto],B98)</f>
        <v>0</v>
      </c>
      <c r="AE98" s="22">
        <f t="shared" si="37"/>
        <v>0</v>
      </c>
      <c r="AF98" s="15">
        <f>SUMIFS(Monatsexporte[Saldo],Monatsexporte[Jahr],$B$4,Monatsexporte[Monat],9,Monatsexporte[Konto],B98)</f>
        <v>0</v>
      </c>
      <c r="AG98" s="15">
        <f>SUMIFS(Monatsexporte[Saldo],Monatsexporte[Jahr],$B$5,Monatsexporte[Monat],9,Monatsexporte[Konto],B98)</f>
        <v>0</v>
      </c>
      <c r="AH98" s="22">
        <f t="shared" si="38"/>
        <v>0</v>
      </c>
      <c r="AI98" s="15">
        <f>SUMIFS(Monatsexporte[Saldo],Monatsexporte[Jahr],$B$4,Monatsexporte[Monat],10,Monatsexporte[Konto],B98)</f>
        <v>0</v>
      </c>
      <c r="AJ98" s="15">
        <f>SUMIFS(Monatsexporte[Saldo],Monatsexporte[Jahr],$B$5,Monatsexporte[Monat],10,Monatsexporte[Konto],B98)</f>
        <v>0</v>
      </c>
      <c r="AK98" s="22">
        <f t="shared" si="39"/>
        <v>0</v>
      </c>
      <c r="AL98" s="15">
        <f>SUMIFS(Monatsexporte[Saldo],Monatsexporte[Jahr],$B$4,Monatsexporte[Monat],11,Monatsexporte[Konto],B98)</f>
        <v>0</v>
      </c>
      <c r="AM98" s="15">
        <f>SUMIFS(Monatsexporte[Saldo],Monatsexporte[Jahr],$B$5,Monatsexporte[Monat],11,Monatsexporte[Konto],B98)</f>
        <v>0</v>
      </c>
      <c r="AN98" s="22">
        <f t="shared" si="40"/>
        <v>0</v>
      </c>
      <c r="AO98" s="15">
        <f>SUMIFS(Monatsexporte[Saldo],Monatsexporte[Jahr],$B$4,Monatsexporte[Monat],12,Monatsexporte[Konto],B98)</f>
        <v>0</v>
      </c>
      <c r="AP98" s="15">
        <f>SUMIFS(Monatsexporte[Saldo],Monatsexporte[Jahr],$B$5,Monatsexporte[Monat],12,Monatsexporte[Konto],B98)</f>
        <v>0</v>
      </c>
      <c r="AQ98" s="22">
        <f t="shared" si="41"/>
        <v>0</v>
      </c>
    </row>
    <row r="99" spans="1:43" hidden="1" outlineLevel="1" x14ac:dyDescent="0.45">
      <c r="A99" s="10" t="s">
        <v>490</v>
      </c>
      <c r="B99" s="39">
        <v>690152520</v>
      </c>
      <c r="C99" s="15">
        <v>6691</v>
      </c>
      <c r="D99" s="15">
        <f ca="1">SUMIFS(Monatsexporte[Saldo],Monatsexporte[Jahr],$B$4,Monatsexporte[Monat],"&lt;="&amp;$B$8,Monatsexporte[Konto],B99)</f>
        <v>20072.400000000001</v>
      </c>
      <c r="E99" s="15">
        <f ca="1">SUMIFS(Monatsexporte[Saldo],Monatsexporte[Jahr],$B$5,Monatsexporte[Monat],"&lt;="&amp;$B$8,Monatsexporte[Konto],B99)</f>
        <v>0</v>
      </c>
      <c r="F99" s="15">
        <f t="shared" ca="1" si="28"/>
        <v>20072.400000000001</v>
      </c>
      <c r="G99" s="22">
        <f t="shared" ca="1" si="29"/>
        <v>0</v>
      </c>
      <c r="H99" s="15">
        <f>SUMIFS(Monatsexporte[Saldo],Monatsexporte[Jahr],$B$4,Monatsexporte[Monat],1,Monatsexporte[Konto],B99)</f>
        <v>0</v>
      </c>
      <c r="I99" s="15">
        <f>SUMIFS(Monatsexporte[Saldo],Monatsexporte[Jahr],$B$5,Monatsexporte[Monat],1,Monatsexporte[Konto],B99)</f>
        <v>0</v>
      </c>
      <c r="J99" s="22">
        <f t="shared" si="30"/>
        <v>0</v>
      </c>
      <c r="K99" s="15">
        <f>SUMIFS(Monatsexporte[Saldo],Monatsexporte[Jahr],$B$4,Monatsexporte[Monat],2,Monatsexporte[Konto],B99)</f>
        <v>0</v>
      </c>
      <c r="L99" s="15">
        <f>SUMIFS(Monatsexporte[Saldo],Monatsexporte[Jahr],$B$5,Monatsexporte[Monat],2,Monatsexporte[Konto],B99)</f>
        <v>0</v>
      </c>
      <c r="M99" s="22">
        <f t="shared" si="31"/>
        <v>0</v>
      </c>
      <c r="N99" s="15">
        <f>SUMIFS(Monatsexporte[Saldo],Monatsexporte[Jahr],$B$4,Monatsexporte[Monat],3,Monatsexporte[Konto],B99)</f>
        <v>6690.8</v>
      </c>
      <c r="O99" s="15">
        <f>SUMIFS(Monatsexporte[Saldo],Monatsexporte[Jahr],$B$5,Monatsexporte[Monat],3,Monatsexporte[Konto],B99)</f>
        <v>0</v>
      </c>
      <c r="P99" s="22">
        <f t="shared" si="32"/>
        <v>0</v>
      </c>
      <c r="Q99" s="15">
        <f>SUMIFS(Monatsexporte[Saldo],Monatsexporte[Jahr],$B$4,Monatsexporte[Monat],4,Monatsexporte[Konto],B99)</f>
        <v>6690.8</v>
      </c>
      <c r="R99" s="15">
        <f>SUMIFS(Monatsexporte[Saldo],Monatsexporte[Jahr],$B$5,Monatsexporte[Monat],4,Monatsexporte[Konto],B99)</f>
        <v>0</v>
      </c>
      <c r="S99" s="22">
        <f t="shared" si="33"/>
        <v>0</v>
      </c>
      <c r="T99" s="15">
        <f>SUMIFS(Monatsexporte[Saldo],Monatsexporte[Jahr],$B$4,Monatsexporte[Monat],5,Monatsexporte[Konto],B99)</f>
        <v>6690.8</v>
      </c>
      <c r="U99" s="15">
        <f>SUMIFS(Monatsexporte[Saldo],Monatsexporte[Jahr],$B$5,Monatsexporte[Monat],5,Monatsexporte[Konto],B99)</f>
        <v>0</v>
      </c>
      <c r="V99" s="22">
        <f t="shared" si="34"/>
        <v>0</v>
      </c>
      <c r="W99" s="15">
        <f>SUMIFS(Monatsexporte[Saldo],Monatsexporte[Jahr],$B$4,Monatsexporte[Monat],6,Monatsexporte[Konto],B99)</f>
        <v>0</v>
      </c>
      <c r="X99" s="15">
        <f>SUMIFS(Monatsexporte[Saldo],Monatsexporte[Jahr],$B$5,Monatsexporte[Monat],6,Monatsexporte[Konto],B99)</f>
        <v>0</v>
      </c>
      <c r="Y99" s="22">
        <f t="shared" si="35"/>
        <v>0</v>
      </c>
      <c r="Z99" s="15">
        <f>SUMIFS(Monatsexporte[Saldo],Monatsexporte[Jahr],$B$4,Monatsexporte[Monat],7,Monatsexporte[Konto],B99)</f>
        <v>0</v>
      </c>
      <c r="AA99" s="15">
        <f>SUMIFS(Monatsexporte[Saldo],Monatsexporte[Jahr],$B$5,Monatsexporte[Monat],7,Monatsexporte[Konto],B99)</f>
        <v>0</v>
      </c>
      <c r="AB99" s="22">
        <f t="shared" si="36"/>
        <v>0</v>
      </c>
      <c r="AC99" s="15">
        <f>SUMIFS(Monatsexporte[Saldo],Monatsexporte[Jahr],$B$4,Monatsexporte[Monat],8,Monatsexporte[Konto],B99)</f>
        <v>0</v>
      </c>
      <c r="AD99" s="15">
        <f>SUMIFS(Monatsexporte[Saldo],Monatsexporte[Jahr],$B$5,Monatsexporte[Monat],8,Monatsexporte[Konto],B99)</f>
        <v>0</v>
      </c>
      <c r="AE99" s="22">
        <f t="shared" si="37"/>
        <v>0</v>
      </c>
      <c r="AF99" s="15">
        <f>SUMIFS(Monatsexporte[Saldo],Monatsexporte[Jahr],$B$4,Monatsexporte[Monat],9,Monatsexporte[Konto],B99)</f>
        <v>0</v>
      </c>
      <c r="AG99" s="15">
        <f>SUMIFS(Monatsexporte[Saldo],Monatsexporte[Jahr],$B$5,Monatsexporte[Monat],9,Monatsexporte[Konto],B99)</f>
        <v>0</v>
      </c>
      <c r="AH99" s="22">
        <f t="shared" si="38"/>
        <v>0</v>
      </c>
      <c r="AI99" s="15">
        <f>SUMIFS(Monatsexporte[Saldo],Monatsexporte[Jahr],$B$4,Monatsexporte[Monat],10,Monatsexporte[Konto],B99)</f>
        <v>0</v>
      </c>
      <c r="AJ99" s="15">
        <f>SUMIFS(Monatsexporte[Saldo],Monatsexporte[Jahr],$B$5,Monatsexporte[Monat],10,Monatsexporte[Konto],B99)</f>
        <v>0</v>
      </c>
      <c r="AK99" s="22">
        <f t="shared" si="39"/>
        <v>0</v>
      </c>
      <c r="AL99" s="15">
        <f>SUMIFS(Monatsexporte[Saldo],Monatsexporte[Jahr],$B$4,Monatsexporte[Monat],11,Monatsexporte[Konto],B99)</f>
        <v>0</v>
      </c>
      <c r="AM99" s="15">
        <f>SUMIFS(Monatsexporte[Saldo],Monatsexporte[Jahr],$B$5,Monatsexporte[Monat],11,Monatsexporte[Konto],B99)</f>
        <v>0</v>
      </c>
      <c r="AN99" s="22">
        <f t="shared" si="40"/>
        <v>0</v>
      </c>
      <c r="AO99" s="15">
        <f>SUMIFS(Monatsexporte[Saldo],Monatsexporte[Jahr],$B$4,Monatsexporte[Monat],12,Monatsexporte[Konto],B99)</f>
        <v>0</v>
      </c>
      <c r="AP99" s="15">
        <f>SUMIFS(Monatsexporte[Saldo],Monatsexporte[Jahr],$B$5,Monatsexporte[Monat],12,Monatsexporte[Konto],B99)</f>
        <v>0</v>
      </c>
      <c r="AQ99" s="22">
        <f t="shared" si="41"/>
        <v>0</v>
      </c>
    </row>
    <row r="100" spans="1:43" hidden="1" outlineLevel="1" x14ac:dyDescent="0.45">
      <c r="A100" s="10" t="s">
        <v>491</v>
      </c>
      <c r="B100" s="39">
        <v>690152550</v>
      </c>
      <c r="C100" s="15">
        <v>1069</v>
      </c>
      <c r="D100" s="15">
        <f ca="1">SUMIFS(Monatsexporte[Saldo],Monatsexporte[Jahr],$B$4,Monatsexporte[Monat],"&lt;="&amp;$B$8,Monatsexporte[Konto],B100)</f>
        <v>3207.6000000000004</v>
      </c>
      <c r="E100" s="15">
        <f ca="1">SUMIFS(Monatsexporte[Saldo],Monatsexporte[Jahr],$B$5,Monatsexporte[Monat],"&lt;="&amp;$B$8,Monatsexporte[Konto],B100)</f>
        <v>0</v>
      </c>
      <c r="F100" s="15">
        <f t="shared" ca="1" si="28"/>
        <v>3207.6000000000004</v>
      </c>
      <c r="G100" s="22">
        <f t="shared" ca="1" si="29"/>
        <v>0</v>
      </c>
      <c r="H100" s="15">
        <f>SUMIFS(Monatsexporte[Saldo],Monatsexporte[Jahr],$B$4,Monatsexporte[Monat],1,Monatsexporte[Konto],B100)</f>
        <v>0</v>
      </c>
      <c r="I100" s="15">
        <f>SUMIFS(Monatsexporte[Saldo],Monatsexporte[Jahr],$B$5,Monatsexporte[Monat],1,Monatsexporte[Konto],B100)</f>
        <v>0</v>
      </c>
      <c r="J100" s="22">
        <f t="shared" si="30"/>
        <v>0</v>
      </c>
      <c r="K100" s="15">
        <f>SUMIFS(Monatsexporte[Saldo],Monatsexporte[Jahr],$B$4,Monatsexporte[Monat],2,Monatsexporte[Konto],B100)</f>
        <v>0</v>
      </c>
      <c r="L100" s="15">
        <f>SUMIFS(Monatsexporte[Saldo],Monatsexporte[Jahr],$B$5,Monatsexporte[Monat],2,Monatsexporte[Konto],B100)</f>
        <v>0</v>
      </c>
      <c r="M100" s="22">
        <f t="shared" si="31"/>
        <v>0</v>
      </c>
      <c r="N100" s="15">
        <f>SUMIFS(Monatsexporte[Saldo],Monatsexporte[Jahr],$B$4,Monatsexporte[Monat],3,Monatsexporte[Konto],B100)</f>
        <v>1069.2</v>
      </c>
      <c r="O100" s="15">
        <f>SUMIFS(Monatsexporte[Saldo],Monatsexporte[Jahr],$B$5,Monatsexporte[Monat],3,Monatsexporte[Konto],B100)</f>
        <v>0</v>
      </c>
      <c r="P100" s="22">
        <f t="shared" si="32"/>
        <v>0</v>
      </c>
      <c r="Q100" s="15">
        <f>SUMIFS(Monatsexporte[Saldo],Monatsexporte[Jahr],$B$4,Monatsexporte[Monat],4,Monatsexporte[Konto],B100)</f>
        <v>1069.2</v>
      </c>
      <c r="R100" s="15">
        <f>SUMIFS(Monatsexporte[Saldo],Monatsexporte[Jahr],$B$5,Monatsexporte[Monat],4,Monatsexporte[Konto],B100)</f>
        <v>0</v>
      </c>
      <c r="S100" s="22">
        <f t="shared" si="33"/>
        <v>0</v>
      </c>
      <c r="T100" s="15">
        <f>SUMIFS(Monatsexporte[Saldo],Monatsexporte[Jahr],$B$4,Monatsexporte[Monat],5,Monatsexporte[Konto],B100)</f>
        <v>1069.2</v>
      </c>
      <c r="U100" s="15">
        <f>SUMIFS(Monatsexporte[Saldo],Monatsexporte[Jahr],$B$5,Monatsexporte[Monat],5,Monatsexporte[Konto],B100)</f>
        <v>0</v>
      </c>
      <c r="V100" s="22">
        <f t="shared" si="34"/>
        <v>0</v>
      </c>
      <c r="W100" s="15">
        <f>SUMIFS(Monatsexporte[Saldo],Monatsexporte[Jahr],$B$4,Monatsexporte[Monat],6,Monatsexporte[Konto],B100)</f>
        <v>0</v>
      </c>
      <c r="X100" s="15">
        <f>SUMIFS(Monatsexporte[Saldo],Monatsexporte[Jahr],$B$5,Monatsexporte[Monat],6,Monatsexporte[Konto],B100)</f>
        <v>0</v>
      </c>
      <c r="Y100" s="22">
        <f t="shared" si="35"/>
        <v>0</v>
      </c>
      <c r="Z100" s="15">
        <f>SUMIFS(Monatsexporte[Saldo],Monatsexporte[Jahr],$B$4,Monatsexporte[Monat],7,Monatsexporte[Konto],B100)</f>
        <v>0</v>
      </c>
      <c r="AA100" s="15">
        <f>SUMIFS(Monatsexporte[Saldo],Monatsexporte[Jahr],$B$5,Monatsexporte[Monat],7,Monatsexporte[Konto],B100)</f>
        <v>0</v>
      </c>
      <c r="AB100" s="22">
        <f t="shared" si="36"/>
        <v>0</v>
      </c>
      <c r="AC100" s="15">
        <f>SUMIFS(Monatsexporte[Saldo],Monatsexporte[Jahr],$B$4,Monatsexporte[Monat],8,Monatsexporte[Konto],B100)</f>
        <v>0</v>
      </c>
      <c r="AD100" s="15">
        <f>SUMIFS(Monatsexporte[Saldo],Monatsexporte[Jahr],$B$5,Monatsexporte[Monat],8,Monatsexporte[Konto],B100)</f>
        <v>0</v>
      </c>
      <c r="AE100" s="22">
        <f t="shared" si="37"/>
        <v>0</v>
      </c>
      <c r="AF100" s="15">
        <f>SUMIFS(Monatsexporte[Saldo],Monatsexporte[Jahr],$B$4,Monatsexporte[Monat],9,Monatsexporte[Konto],B100)</f>
        <v>0</v>
      </c>
      <c r="AG100" s="15">
        <f>SUMIFS(Monatsexporte[Saldo],Monatsexporte[Jahr],$B$5,Monatsexporte[Monat],9,Monatsexporte[Konto],B100)</f>
        <v>0</v>
      </c>
      <c r="AH100" s="22">
        <f t="shared" si="38"/>
        <v>0</v>
      </c>
      <c r="AI100" s="15">
        <f>SUMIFS(Monatsexporte[Saldo],Monatsexporte[Jahr],$B$4,Monatsexporte[Monat],10,Monatsexporte[Konto],B100)</f>
        <v>0</v>
      </c>
      <c r="AJ100" s="15">
        <f>SUMIFS(Monatsexporte[Saldo],Monatsexporte[Jahr],$B$5,Monatsexporte[Monat],10,Monatsexporte[Konto],B100)</f>
        <v>0</v>
      </c>
      <c r="AK100" s="22">
        <f t="shared" si="39"/>
        <v>0</v>
      </c>
      <c r="AL100" s="15">
        <f>SUMIFS(Monatsexporte[Saldo],Monatsexporte[Jahr],$B$4,Monatsexporte[Monat],11,Monatsexporte[Konto],B100)</f>
        <v>0</v>
      </c>
      <c r="AM100" s="15">
        <f>SUMIFS(Monatsexporte[Saldo],Monatsexporte[Jahr],$B$5,Monatsexporte[Monat],11,Monatsexporte[Konto],B100)</f>
        <v>0</v>
      </c>
      <c r="AN100" s="22">
        <f t="shared" si="40"/>
        <v>0</v>
      </c>
      <c r="AO100" s="15">
        <f>SUMIFS(Monatsexporte[Saldo],Monatsexporte[Jahr],$B$4,Monatsexporte[Monat],12,Monatsexporte[Konto],B100)</f>
        <v>0</v>
      </c>
      <c r="AP100" s="15">
        <f>SUMIFS(Monatsexporte[Saldo],Monatsexporte[Jahr],$B$5,Monatsexporte[Monat],12,Monatsexporte[Konto],B100)</f>
        <v>0</v>
      </c>
      <c r="AQ100" s="22">
        <f t="shared" si="41"/>
        <v>0</v>
      </c>
    </row>
    <row r="101" spans="1:43" hidden="1" outlineLevel="1" x14ac:dyDescent="0.45">
      <c r="A101" s="10" t="s">
        <v>492</v>
      </c>
      <c r="B101" s="39">
        <v>690152551</v>
      </c>
      <c r="C101" s="15">
        <v>2154</v>
      </c>
      <c r="D101" s="15">
        <f ca="1">SUMIFS(Monatsexporte[Saldo],Monatsexporte[Jahr],$B$4,Monatsexporte[Monat],"&lt;="&amp;$B$8,Monatsexporte[Konto],B101)</f>
        <v>6462.2999999999993</v>
      </c>
      <c r="E101" s="15">
        <f ca="1">SUMIFS(Monatsexporte[Saldo],Monatsexporte[Jahr],$B$5,Monatsexporte[Monat],"&lt;="&amp;$B$8,Monatsexporte[Konto],B101)</f>
        <v>0</v>
      </c>
      <c r="F101" s="15">
        <f t="shared" ca="1" si="28"/>
        <v>6462.2999999999993</v>
      </c>
      <c r="G101" s="22">
        <f t="shared" ca="1" si="29"/>
        <v>0</v>
      </c>
      <c r="H101" s="15">
        <f>SUMIFS(Monatsexporte[Saldo],Monatsexporte[Jahr],$B$4,Monatsexporte[Monat],1,Monatsexporte[Konto],B101)</f>
        <v>0</v>
      </c>
      <c r="I101" s="15">
        <f>SUMIFS(Monatsexporte[Saldo],Monatsexporte[Jahr],$B$5,Monatsexporte[Monat],1,Monatsexporte[Konto],B101)</f>
        <v>0</v>
      </c>
      <c r="J101" s="22">
        <f t="shared" si="30"/>
        <v>0</v>
      </c>
      <c r="K101" s="15">
        <f>SUMIFS(Monatsexporte[Saldo],Monatsexporte[Jahr],$B$4,Monatsexporte[Monat],2,Monatsexporte[Konto],B101)</f>
        <v>0</v>
      </c>
      <c r="L101" s="15">
        <f>SUMIFS(Monatsexporte[Saldo],Monatsexporte[Jahr],$B$5,Monatsexporte[Monat],2,Monatsexporte[Konto],B101)</f>
        <v>0</v>
      </c>
      <c r="M101" s="22">
        <f t="shared" si="31"/>
        <v>0</v>
      </c>
      <c r="N101" s="15">
        <f>SUMIFS(Monatsexporte[Saldo],Monatsexporte[Jahr],$B$4,Monatsexporte[Monat],3,Monatsexporte[Konto],B101)</f>
        <v>2154.1</v>
      </c>
      <c r="O101" s="15">
        <f>SUMIFS(Monatsexporte[Saldo],Monatsexporte[Jahr],$B$5,Monatsexporte[Monat],3,Monatsexporte[Konto],B101)</f>
        <v>0</v>
      </c>
      <c r="P101" s="22">
        <f t="shared" si="32"/>
        <v>0</v>
      </c>
      <c r="Q101" s="15">
        <f>SUMIFS(Monatsexporte[Saldo],Monatsexporte[Jahr],$B$4,Monatsexporte[Monat],4,Monatsexporte[Konto],B101)</f>
        <v>2154.1</v>
      </c>
      <c r="R101" s="15">
        <f>SUMIFS(Monatsexporte[Saldo],Monatsexporte[Jahr],$B$5,Monatsexporte[Monat],4,Monatsexporte[Konto],B101)</f>
        <v>0</v>
      </c>
      <c r="S101" s="22">
        <f t="shared" si="33"/>
        <v>0</v>
      </c>
      <c r="T101" s="15">
        <f>SUMIFS(Monatsexporte[Saldo],Monatsexporte[Jahr],$B$4,Monatsexporte[Monat],5,Monatsexporte[Konto],B101)</f>
        <v>2154.1</v>
      </c>
      <c r="U101" s="15">
        <f>SUMIFS(Monatsexporte[Saldo],Monatsexporte[Jahr],$B$5,Monatsexporte[Monat],5,Monatsexporte[Konto],B101)</f>
        <v>0</v>
      </c>
      <c r="V101" s="22">
        <f t="shared" si="34"/>
        <v>0</v>
      </c>
      <c r="W101" s="15">
        <f>SUMIFS(Monatsexporte[Saldo],Monatsexporte[Jahr],$B$4,Monatsexporte[Monat],6,Monatsexporte[Konto],B101)</f>
        <v>0</v>
      </c>
      <c r="X101" s="15">
        <f>SUMIFS(Monatsexporte[Saldo],Monatsexporte[Jahr],$B$5,Monatsexporte[Monat],6,Monatsexporte[Konto],B101)</f>
        <v>0</v>
      </c>
      <c r="Y101" s="22">
        <f t="shared" si="35"/>
        <v>0</v>
      </c>
      <c r="Z101" s="15">
        <f>SUMIFS(Monatsexporte[Saldo],Monatsexporte[Jahr],$B$4,Monatsexporte[Monat],7,Monatsexporte[Konto],B101)</f>
        <v>0</v>
      </c>
      <c r="AA101" s="15">
        <f>SUMIFS(Monatsexporte[Saldo],Monatsexporte[Jahr],$B$5,Monatsexporte[Monat],7,Monatsexporte[Konto],B101)</f>
        <v>0</v>
      </c>
      <c r="AB101" s="22">
        <f t="shared" si="36"/>
        <v>0</v>
      </c>
      <c r="AC101" s="15">
        <f>SUMIFS(Monatsexporte[Saldo],Monatsexporte[Jahr],$B$4,Monatsexporte[Monat],8,Monatsexporte[Konto],B101)</f>
        <v>0</v>
      </c>
      <c r="AD101" s="15">
        <f>SUMIFS(Monatsexporte[Saldo],Monatsexporte[Jahr],$B$5,Monatsexporte[Monat],8,Monatsexporte[Konto],B101)</f>
        <v>0</v>
      </c>
      <c r="AE101" s="22">
        <f t="shared" si="37"/>
        <v>0</v>
      </c>
      <c r="AF101" s="15">
        <f>SUMIFS(Monatsexporte[Saldo],Monatsexporte[Jahr],$B$4,Monatsexporte[Monat],9,Monatsexporte[Konto],B101)</f>
        <v>0</v>
      </c>
      <c r="AG101" s="15">
        <f>SUMIFS(Monatsexporte[Saldo],Monatsexporte[Jahr],$B$5,Monatsexporte[Monat],9,Monatsexporte[Konto],B101)</f>
        <v>0</v>
      </c>
      <c r="AH101" s="22">
        <f t="shared" si="38"/>
        <v>0</v>
      </c>
      <c r="AI101" s="15">
        <f>SUMIFS(Monatsexporte[Saldo],Monatsexporte[Jahr],$B$4,Monatsexporte[Monat],10,Monatsexporte[Konto],B101)</f>
        <v>0</v>
      </c>
      <c r="AJ101" s="15">
        <f>SUMIFS(Monatsexporte[Saldo],Monatsexporte[Jahr],$B$5,Monatsexporte[Monat],10,Monatsexporte[Konto],B101)</f>
        <v>0</v>
      </c>
      <c r="AK101" s="22">
        <f t="shared" si="39"/>
        <v>0</v>
      </c>
      <c r="AL101" s="15">
        <f>SUMIFS(Monatsexporte[Saldo],Monatsexporte[Jahr],$B$4,Monatsexporte[Monat],11,Monatsexporte[Konto],B101)</f>
        <v>0</v>
      </c>
      <c r="AM101" s="15">
        <f>SUMIFS(Monatsexporte[Saldo],Monatsexporte[Jahr],$B$5,Monatsexporte[Monat],11,Monatsexporte[Konto],B101)</f>
        <v>0</v>
      </c>
      <c r="AN101" s="22">
        <f t="shared" si="40"/>
        <v>0</v>
      </c>
      <c r="AO101" s="15">
        <f>SUMIFS(Monatsexporte[Saldo],Monatsexporte[Jahr],$B$4,Monatsexporte[Monat],12,Monatsexporte[Konto],B101)</f>
        <v>0</v>
      </c>
      <c r="AP101" s="15">
        <f>SUMIFS(Monatsexporte[Saldo],Monatsexporte[Jahr],$B$5,Monatsexporte[Monat],12,Monatsexporte[Konto],B101)</f>
        <v>0</v>
      </c>
      <c r="AQ101" s="22">
        <f t="shared" si="41"/>
        <v>0</v>
      </c>
    </row>
    <row r="102" spans="1:43" collapsed="1" x14ac:dyDescent="0.45">
      <c r="A102" s="1" t="s">
        <v>476</v>
      </c>
      <c r="B102" s="39" t="s">
        <v>477</v>
      </c>
      <c r="C102" s="15">
        <f>SUM(C87:C101)</f>
        <v>200269</v>
      </c>
      <c r="D102" s="15">
        <f ca="1">SUM(D87:D101)</f>
        <v>600805.17000000004</v>
      </c>
      <c r="E102" s="15">
        <f ca="1">SUM(E87:E101)</f>
        <v>0</v>
      </c>
      <c r="F102" s="15">
        <f t="shared" ref="F102:F130" ca="1" si="42">D102-E102</f>
        <v>600805.17000000004</v>
      </c>
      <c r="G102" s="22">
        <f t="shared" ref="G102:G130" ca="1" si="43">IF(E102=0,0,D102/E102-1)</f>
        <v>0</v>
      </c>
      <c r="H102" s="15">
        <f>SUM(H87:H101)</f>
        <v>0</v>
      </c>
      <c r="I102" s="15">
        <f>SUM(I87:I101)</f>
        <v>0</v>
      </c>
      <c r="J102" s="22">
        <f t="shared" ref="J102:J130" si="44">IF(I102=0,0,H102/I102-1)</f>
        <v>0</v>
      </c>
      <c r="K102" s="15">
        <f>SUM(K87:K101)</f>
        <v>0</v>
      </c>
      <c r="L102" s="15">
        <f>SUM(L87:L101)</f>
        <v>0</v>
      </c>
      <c r="M102" s="22">
        <f t="shared" ref="M102:M130" si="45">IF(L102=0,0,K102/L102-1)</f>
        <v>0</v>
      </c>
      <c r="N102" s="15">
        <f>SUM(N87:N101)</f>
        <v>200268.39</v>
      </c>
      <c r="O102" s="15">
        <f>SUM(O87:O101)</f>
        <v>0</v>
      </c>
      <c r="P102" s="22">
        <f t="shared" ref="P102:P130" si="46">IF(O102=0,0,N102/O102-1)</f>
        <v>0</v>
      </c>
      <c r="Q102" s="15">
        <f>SUM(Q87:Q101)</f>
        <v>200268.39</v>
      </c>
      <c r="R102" s="15">
        <f>SUM(R87:R101)</f>
        <v>0</v>
      </c>
      <c r="S102" s="22">
        <f t="shared" ref="S102:S130" si="47">IF(R102=0,0,Q102/R102-1)</f>
        <v>0</v>
      </c>
      <c r="T102" s="15">
        <f>SUM(T87:T101)</f>
        <v>200268.39</v>
      </c>
      <c r="U102" s="15">
        <f>SUM(U87:U101)</f>
        <v>0</v>
      </c>
      <c r="V102" s="22">
        <f t="shared" ref="V102:V130" si="48">IF(U102=0,0,T102/U102-1)</f>
        <v>0</v>
      </c>
      <c r="W102" s="15">
        <f>SUM(W87:W101)</f>
        <v>0</v>
      </c>
      <c r="X102" s="15">
        <f>SUM(X87:X101)</f>
        <v>0</v>
      </c>
      <c r="Y102" s="22">
        <f t="shared" ref="Y102:Y130" si="49">IF(X102=0,0,W102/X102-1)</f>
        <v>0</v>
      </c>
      <c r="Z102" s="15">
        <f>SUM(Z87:Z101)</f>
        <v>0</v>
      </c>
      <c r="AA102" s="15">
        <f>SUM(AA87:AA101)</f>
        <v>0</v>
      </c>
      <c r="AB102" s="22">
        <f t="shared" ref="AB102:AB130" si="50">IF(AA102=0,0,Z102/AA102-1)</f>
        <v>0</v>
      </c>
      <c r="AC102" s="15">
        <f>SUM(AC87:AC101)</f>
        <v>0</v>
      </c>
      <c r="AD102" s="15">
        <f>SUM(AD87:AD101)</f>
        <v>0</v>
      </c>
      <c r="AE102" s="22">
        <f t="shared" ref="AE102:AE130" si="51">IF(AD102=0,0,AC102/AD102-1)</f>
        <v>0</v>
      </c>
      <c r="AF102" s="15">
        <f>SUM(AF87:AF101)</f>
        <v>0</v>
      </c>
      <c r="AG102" s="15">
        <f>SUM(AG87:AG101)</f>
        <v>0</v>
      </c>
      <c r="AH102" s="22">
        <f t="shared" ref="AH102:AH130" si="52">IF(AG102=0,0,AF102/AG102-1)</f>
        <v>0</v>
      </c>
      <c r="AI102" s="15">
        <f>SUM(AI87:AI101)</f>
        <v>0</v>
      </c>
      <c r="AJ102" s="15">
        <f>SUM(AJ87:AJ101)</f>
        <v>0</v>
      </c>
      <c r="AK102" s="22">
        <f t="shared" ref="AK102:AK130" si="53">IF(AJ102=0,0,AI102/AJ102-1)</f>
        <v>0</v>
      </c>
      <c r="AL102" s="15">
        <f>SUM(AL87:AL101)</f>
        <v>0</v>
      </c>
      <c r="AM102" s="15">
        <f>SUM(AM87:AM101)</f>
        <v>0</v>
      </c>
      <c r="AN102" s="22">
        <f t="shared" ref="AN102:AN130" si="54">IF(AM102=0,0,AL102/AM102-1)</f>
        <v>0</v>
      </c>
      <c r="AO102" s="15">
        <f>SUM(AO87:AO101)</f>
        <v>0</v>
      </c>
      <c r="AP102" s="15">
        <f>SUM(AP87:AP101)</f>
        <v>0</v>
      </c>
      <c r="AQ102" s="22">
        <f t="shared" ref="AQ102:AQ130" si="55">IF(AP102=0,0,AO102/AP102-1)</f>
        <v>0</v>
      </c>
    </row>
    <row r="103" spans="1:43" outlineLevel="1" x14ac:dyDescent="0.45">
      <c r="A103" s="10" t="s">
        <v>495</v>
      </c>
      <c r="B103" s="39">
        <v>690241003</v>
      </c>
      <c r="C103" s="15">
        <v>11938</v>
      </c>
      <c r="D103" s="15">
        <f ca="1">SUMIFS(Monatsexporte[Saldo],Monatsexporte[Jahr],$B$4,Monatsexporte[Monat],"&lt;="&amp;$B$8,Monatsexporte[Konto],B103)</f>
        <v>35812.89</v>
      </c>
      <c r="E103" s="15">
        <f ca="1">SUMIFS(Monatsexporte[Saldo],Monatsexporte[Jahr],$B$5,Monatsexporte[Monat],"&lt;="&amp;$B$8,Monatsexporte[Konto],B103)</f>
        <v>0</v>
      </c>
      <c r="F103" s="15">
        <f t="shared" ca="1" si="42"/>
        <v>35812.89</v>
      </c>
      <c r="G103" s="22">
        <f t="shared" ca="1" si="43"/>
        <v>0</v>
      </c>
      <c r="H103" s="15">
        <f>SUMIFS(Monatsexporte[Saldo],Monatsexporte[Jahr],$B$4,Monatsexporte[Monat],1,Monatsexporte[Konto],B103)</f>
        <v>0</v>
      </c>
      <c r="I103" s="15">
        <f>SUMIFS(Monatsexporte[Saldo],Monatsexporte[Jahr],$B$5,Monatsexporte[Monat],1,Monatsexporte[Konto],B103)</f>
        <v>0</v>
      </c>
      <c r="J103" s="22">
        <f t="shared" si="44"/>
        <v>0</v>
      </c>
      <c r="K103" s="15">
        <f>SUMIFS(Monatsexporte[Saldo],Monatsexporte[Jahr],$B$4,Monatsexporte[Monat],2,Monatsexporte[Konto],B103)</f>
        <v>0</v>
      </c>
      <c r="L103" s="15">
        <f>SUMIFS(Monatsexporte[Saldo],Monatsexporte[Jahr],$B$5,Monatsexporte[Monat],2,Monatsexporte[Konto],B103)</f>
        <v>0</v>
      </c>
      <c r="M103" s="22">
        <f t="shared" si="45"/>
        <v>0</v>
      </c>
      <c r="N103" s="15">
        <f>SUMIFS(Monatsexporte[Saldo],Monatsexporte[Jahr],$B$4,Monatsexporte[Monat],3,Monatsexporte[Konto],B103)</f>
        <v>11937.63</v>
      </c>
      <c r="O103" s="15">
        <f>SUMIFS(Monatsexporte[Saldo],Monatsexporte[Jahr],$B$5,Monatsexporte[Monat],3,Monatsexporte[Konto],B103)</f>
        <v>0</v>
      </c>
      <c r="P103" s="22">
        <f t="shared" si="46"/>
        <v>0</v>
      </c>
      <c r="Q103" s="15">
        <f>SUMIFS(Monatsexporte[Saldo],Monatsexporte[Jahr],$B$4,Monatsexporte[Monat],4,Monatsexporte[Konto],B103)</f>
        <v>11937.63</v>
      </c>
      <c r="R103" s="15">
        <f>SUMIFS(Monatsexporte[Saldo],Monatsexporte[Jahr],$B$5,Monatsexporte[Monat],4,Monatsexporte[Konto],B103)</f>
        <v>0</v>
      </c>
      <c r="S103" s="22">
        <f t="shared" si="47"/>
        <v>0</v>
      </c>
      <c r="T103" s="15">
        <f>SUMIFS(Monatsexporte[Saldo],Monatsexporte[Jahr],$B$4,Monatsexporte[Monat],5,Monatsexporte[Konto],B103)</f>
        <v>11937.63</v>
      </c>
      <c r="U103" s="15">
        <f>SUMIFS(Monatsexporte[Saldo],Monatsexporte[Jahr],$B$5,Monatsexporte[Monat],5,Monatsexporte[Konto],B103)</f>
        <v>0</v>
      </c>
      <c r="V103" s="22">
        <f t="shared" si="48"/>
        <v>0</v>
      </c>
      <c r="W103" s="15">
        <f>SUMIFS(Monatsexporte[Saldo],Monatsexporte[Jahr],$B$4,Monatsexporte[Monat],6,Monatsexporte[Konto],B103)</f>
        <v>0</v>
      </c>
      <c r="X103" s="15">
        <f>SUMIFS(Monatsexporte[Saldo],Monatsexporte[Jahr],$B$5,Monatsexporte[Monat],6,Monatsexporte[Konto],B103)</f>
        <v>0</v>
      </c>
      <c r="Y103" s="22">
        <f t="shared" si="49"/>
        <v>0</v>
      </c>
      <c r="Z103" s="15">
        <f>SUMIFS(Monatsexporte[Saldo],Monatsexporte[Jahr],$B$4,Monatsexporte[Monat],7,Monatsexporte[Konto],B103)</f>
        <v>0</v>
      </c>
      <c r="AA103" s="15">
        <f>SUMIFS(Monatsexporte[Saldo],Monatsexporte[Jahr],$B$5,Monatsexporte[Monat],7,Monatsexporte[Konto],B103)</f>
        <v>0</v>
      </c>
      <c r="AB103" s="22">
        <f t="shared" si="50"/>
        <v>0</v>
      </c>
      <c r="AC103" s="15">
        <f>SUMIFS(Monatsexporte[Saldo],Monatsexporte[Jahr],$B$4,Monatsexporte[Monat],8,Monatsexporte[Konto],B103)</f>
        <v>0</v>
      </c>
      <c r="AD103" s="15">
        <f>SUMIFS(Monatsexporte[Saldo],Monatsexporte[Jahr],$B$5,Monatsexporte[Monat],8,Monatsexporte[Konto],B103)</f>
        <v>0</v>
      </c>
      <c r="AE103" s="22">
        <f t="shared" si="51"/>
        <v>0</v>
      </c>
      <c r="AF103" s="15">
        <f>SUMIFS(Monatsexporte[Saldo],Monatsexporte[Jahr],$B$4,Monatsexporte[Monat],9,Monatsexporte[Konto],B103)</f>
        <v>0</v>
      </c>
      <c r="AG103" s="15">
        <f>SUMIFS(Monatsexporte[Saldo],Monatsexporte[Jahr],$B$5,Monatsexporte[Monat],9,Monatsexporte[Konto],B103)</f>
        <v>0</v>
      </c>
      <c r="AH103" s="22">
        <f t="shared" si="52"/>
        <v>0</v>
      </c>
      <c r="AI103" s="15">
        <f>SUMIFS(Monatsexporte[Saldo],Monatsexporte[Jahr],$B$4,Monatsexporte[Monat],10,Monatsexporte[Konto],B103)</f>
        <v>0</v>
      </c>
      <c r="AJ103" s="15">
        <f>SUMIFS(Monatsexporte[Saldo],Monatsexporte[Jahr],$B$5,Monatsexporte[Monat],10,Monatsexporte[Konto],B103)</f>
        <v>0</v>
      </c>
      <c r="AK103" s="22">
        <f t="shared" si="53"/>
        <v>0</v>
      </c>
      <c r="AL103" s="15">
        <f>SUMIFS(Monatsexporte[Saldo],Monatsexporte[Jahr],$B$4,Monatsexporte[Monat],11,Monatsexporte[Konto],B103)</f>
        <v>0</v>
      </c>
      <c r="AM103" s="15">
        <f>SUMIFS(Monatsexporte[Saldo],Monatsexporte[Jahr],$B$5,Monatsexporte[Monat],11,Monatsexporte[Konto],B103)</f>
        <v>0</v>
      </c>
      <c r="AN103" s="22">
        <f t="shared" si="54"/>
        <v>0</v>
      </c>
      <c r="AO103" s="15">
        <f>SUMIFS(Monatsexporte[Saldo],Monatsexporte[Jahr],$B$4,Monatsexporte[Monat],12,Monatsexporte[Konto],B103)</f>
        <v>0</v>
      </c>
      <c r="AP103" s="15">
        <f>SUMIFS(Monatsexporte[Saldo],Monatsexporte[Jahr],$B$5,Monatsexporte[Monat],12,Monatsexporte[Konto],B103)</f>
        <v>0</v>
      </c>
      <c r="AQ103" s="22">
        <f t="shared" si="55"/>
        <v>0</v>
      </c>
    </row>
    <row r="104" spans="1:43" outlineLevel="1" x14ac:dyDescent="0.45">
      <c r="A104" s="10" t="s">
        <v>496</v>
      </c>
      <c r="B104" s="39">
        <v>690241006</v>
      </c>
      <c r="C104" s="15">
        <v>2619</v>
      </c>
      <c r="D104" s="15">
        <f ca="1">SUMIFS(Monatsexporte[Saldo],Monatsexporte[Jahr],$B$4,Monatsexporte[Monat],"&lt;="&amp;$B$8,Monatsexporte[Konto],B104)</f>
        <v>7858.41</v>
      </c>
      <c r="E104" s="15">
        <f ca="1">SUMIFS(Monatsexporte[Saldo],Monatsexporte[Jahr],$B$5,Monatsexporte[Monat],"&lt;="&amp;$B$8,Monatsexporte[Konto],B104)</f>
        <v>0</v>
      </c>
      <c r="F104" s="15">
        <f t="shared" ca="1" si="42"/>
        <v>7858.41</v>
      </c>
      <c r="G104" s="22">
        <f t="shared" ca="1" si="43"/>
        <v>0</v>
      </c>
      <c r="H104" s="15">
        <f>SUMIFS(Monatsexporte[Saldo],Monatsexporte[Jahr],$B$4,Monatsexporte[Monat],1,Monatsexporte[Konto],B104)</f>
        <v>0</v>
      </c>
      <c r="I104" s="15">
        <f>SUMIFS(Monatsexporte[Saldo],Monatsexporte[Jahr],$B$5,Monatsexporte[Monat],1,Monatsexporte[Konto],B104)</f>
        <v>0</v>
      </c>
      <c r="J104" s="22">
        <f t="shared" si="44"/>
        <v>0</v>
      </c>
      <c r="K104" s="15">
        <f>SUMIFS(Monatsexporte[Saldo],Monatsexporte[Jahr],$B$4,Monatsexporte[Monat],2,Monatsexporte[Konto],B104)</f>
        <v>0</v>
      </c>
      <c r="L104" s="15">
        <f>SUMIFS(Monatsexporte[Saldo],Monatsexporte[Jahr],$B$5,Monatsexporte[Monat],2,Monatsexporte[Konto],B104)</f>
        <v>0</v>
      </c>
      <c r="M104" s="22">
        <f t="shared" si="45"/>
        <v>0</v>
      </c>
      <c r="N104" s="15">
        <f>SUMIFS(Monatsexporte[Saldo],Monatsexporte[Jahr],$B$4,Monatsexporte[Monat],3,Monatsexporte[Konto],B104)</f>
        <v>2619.4699999999998</v>
      </c>
      <c r="O104" s="15">
        <f>SUMIFS(Monatsexporte[Saldo],Monatsexporte[Jahr],$B$5,Monatsexporte[Monat],3,Monatsexporte[Konto],B104)</f>
        <v>0</v>
      </c>
      <c r="P104" s="22">
        <f t="shared" si="46"/>
        <v>0</v>
      </c>
      <c r="Q104" s="15">
        <f>SUMIFS(Monatsexporte[Saldo],Monatsexporte[Jahr],$B$4,Monatsexporte[Monat],4,Monatsexporte[Konto],B104)</f>
        <v>2619.4699999999998</v>
      </c>
      <c r="R104" s="15">
        <f>SUMIFS(Monatsexporte[Saldo],Monatsexporte[Jahr],$B$5,Monatsexporte[Monat],4,Monatsexporte[Konto],B104)</f>
        <v>0</v>
      </c>
      <c r="S104" s="22">
        <f t="shared" si="47"/>
        <v>0</v>
      </c>
      <c r="T104" s="15">
        <f>SUMIFS(Monatsexporte[Saldo],Monatsexporte[Jahr],$B$4,Monatsexporte[Monat],5,Monatsexporte[Konto],B104)</f>
        <v>2619.4699999999998</v>
      </c>
      <c r="U104" s="15">
        <f>SUMIFS(Monatsexporte[Saldo],Monatsexporte[Jahr],$B$5,Monatsexporte[Monat],5,Monatsexporte[Konto],B104)</f>
        <v>0</v>
      </c>
      <c r="V104" s="22">
        <f t="shared" si="48"/>
        <v>0</v>
      </c>
      <c r="W104" s="15">
        <f>SUMIFS(Monatsexporte[Saldo],Monatsexporte[Jahr],$B$4,Monatsexporte[Monat],6,Monatsexporte[Konto],B104)</f>
        <v>0</v>
      </c>
      <c r="X104" s="15">
        <f>SUMIFS(Monatsexporte[Saldo],Monatsexporte[Jahr],$B$5,Monatsexporte[Monat],6,Monatsexporte[Konto],B104)</f>
        <v>0</v>
      </c>
      <c r="Y104" s="22">
        <f t="shared" si="49"/>
        <v>0</v>
      </c>
      <c r="Z104" s="15">
        <f>SUMIFS(Monatsexporte[Saldo],Monatsexporte[Jahr],$B$4,Monatsexporte[Monat],7,Monatsexporte[Konto],B104)</f>
        <v>0</v>
      </c>
      <c r="AA104" s="15">
        <f>SUMIFS(Monatsexporte[Saldo],Monatsexporte[Jahr],$B$5,Monatsexporte[Monat],7,Monatsexporte[Konto],B104)</f>
        <v>0</v>
      </c>
      <c r="AB104" s="22">
        <f t="shared" si="50"/>
        <v>0</v>
      </c>
      <c r="AC104" s="15">
        <f>SUMIFS(Monatsexporte[Saldo],Monatsexporte[Jahr],$B$4,Monatsexporte[Monat],8,Monatsexporte[Konto],B104)</f>
        <v>0</v>
      </c>
      <c r="AD104" s="15">
        <f>SUMIFS(Monatsexporte[Saldo],Monatsexporte[Jahr],$B$5,Monatsexporte[Monat],8,Monatsexporte[Konto],B104)</f>
        <v>0</v>
      </c>
      <c r="AE104" s="22">
        <f t="shared" si="51"/>
        <v>0</v>
      </c>
      <c r="AF104" s="15">
        <f>SUMIFS(Monatsexporte[Saldo],Monatsexporte[Jahr],$B$4,Monatsexporte[Monat],9,Monatsexporte[Konto],B104)</f>
        <v>0</v>
      </c>
      <c r="AG104" s="15">
        <f>SUMIFS(Monatsexporte[Saldo],Monatsexporte[Jahr],$B$5,Monatsexporte[Monat],9,Monatsexporte[Konto],B104)</f>
        <v>0</v>
      </c>
      <c r="AH104" s="22">
        <f t="shared" si="52"/>
        <v>0</v>
      </c>
      <c r="AI104" s="15">
        <f>SUMIFS(Monatsexporte[Saldo],Monatsexporte[Jahr],$B$4,Monatsexporte[Monat],10,Monatsexporte[Konto],B104)</f>
        <v>0</v>
      </c>
      <c r="AJ104" s="15">
        <f>SUMIFS(Monatsexporte[Saldo],Monatsexporte[Jahr],$B$5,Monatsexporte[Monat],10,Monatsexporte[Konto],B104)</f>
        <v>0</v>
      </c>
      <c r="AK104" s="22">
        <f t="shared" si="53"/>
        <v>0</v>
      </c>
      <c r="AL104" s="15">
        <f>SUMIFS(Monatsexporte[Saldo],Monatsexporte[Jahr],$B$4,Monatsexporte[Monat],11,Monatsexporte[Konto],B104)</f>
        <v>0</v>
      </c>
      <c r="AM104" s="15">
        <f>SUMIFS(Monatsexporte[Saldo],Monatsexporte[Jahr],$B$5,Monatsexporte[Monat],11,Monatsexporte[Konto],B104)</f>
        <v>0</v>
      </c>
      <c r="AN104" s="22">
        <f t="shared" si="54"/>
        <v>0</v>
      </c>
      <c r="AO104" s="15">
        <f>SUMIFS(Monatsexporte[Saldo],Monatsexporte[Jahr],$B$4,Monatsexporte[Monat],12,Monatsexporte[Konto],B104)</f>
        <v>0</v>
      </c>
      <c r="AP104" s="15">
        <f>SUMIFS(Monatsexporte[Saldo],Monatsexporte[Jahr],$B$5,Monatsexporte[Monat],12,Monatsexporte[Konto],B104)</f>
        <v>0</v>
      </c>
      <c r="AQ104" s="22">
        <f t="shared" si="55"/>
        <v>0</v>
      </c>
    </row>
    <row r="105" spans="1:43" outlineLevel="1" x14ac:dyDescent="0.45">
      <c r="A105" s="10" t="s">
        <v>497</v>
      </c>
      <c r="B105" s="39">
        <v>690241009</v>
      </c>
      <c r="C105" s="15">
        <v>868</v>
      </c>
      <c r="D105" s="15">
        <f ca="1">SUMIFS(Monatsexporte[Saldo],Monatsexporte[Jahr],$B$4,Monatsexporte[Monat],"&lt;="&amp;$B$8,Monatsexporte[Konto],B105)</f>
        <v>2605.3200000000002</v>
      </c>
      <c r="E105" s="15">
        <f ca="1">SUMIFS(Monatsexporte[Saldo],Monatsexporte[Jahr],$B$5,Monatsexporte[Monat],"&lt;="&amp;$B$8,Monatsexporte[Konto],B105)</f>
        <v>0</v>
      </c>
      <c r="F105" s="15">
        <f t="shared" ca="1" si="42"/>
        <v>2605.3200000000002</v>
      </c>
      <c r="G105" s="22">
        <f t="shared" ca="1" si="43"/>
        <v>0</v>
      </c>
      <c r="H105" s="15">
        <f>SUMIFS(Monatsexporte[Saldo],Monatsexporte[Jahr],$B$4,Monatsexporte[Monat],1,Monatsexporte[Konto],B105)</f>
        <v>0</v>
      </c>
      <c r="I105" s="15">
        <f>SUMIFS(Monatsexporte[Saldo],Monatsexporte[Jahr],$B$5,Monatsexporte[Monat],1,Monatsexporte[Konto],B105)</f>
        <v>0</v>
      </c>
      <c r="J105" s="22">
        <f t="shared" si="44"/>
        <v>0</v>
      </c>
      <c r="K105" s="15">
        <f>SUMIFS(Monatsexporte[Saldo],Monatsexporte[Jahr],$B$4,Monatsexporte[Monat],2,Monatsexporte[Konto],B105)</f>
        <v>0</v>
      </c>
      <c r="L105" s="15">
        <f>SUMIFS(Monatsexporte[Saldo],Monatsexporte[Jahr],$B$5,Monatsexporte[Monat],2,Monatsexporte[Konto],B105)</f>
        <v>0</v>
      </c>
      <c r="M105" s="22">
        <f t="shared" si="45"/>
        <v>0</v>
      </c>
      <c r="N105" s="15">
        <f>SUMIFS(Monatsexporte[Saldo],Monatsexporte[Jahr],$B$4,Monatsexporte[Monat],3,Monatsexporte[Konto],B105)</f>
        <v>868.44</v>
      </c>
      <c r="O105" s="15">
        <f>SUMIFS(Monatsexporte[Saldo],Monatsexporte[Jahr],$B$5,Monatsexporte[Monat],3,Monatsexporte[Konto],B105)</f>
        <v>0</v>
      </c>
      <c r="P105" s="22">
        <f t="shared" si="46"/>
        <v>0</v>
      </c>
      <c r="Q105" s="15">
        <f>SUMIFS(Monatsexporte[Saldo],Monatsexporte[Jahr],$B$4,Monatsexporte[Monat],4,Monatsexporte[Konto],B105)</f>
        <v>868.44</v>
      </c>
      <c r="R105" s="15">
        <f>SUMIFS(Monatsexporte[Saldo],Monatsexporte[Jahr],$B$5,Monatsexporte[Monat],4,Monatsexporte[Konto],B105)</f>
        <v>0</v>
      </c>
      <c r="S105" s="22">
        <f t="shared" si="47"/>
        <v>0</v>
      </c>
      <c r="T105" s="15">
        <f>SUMIFS(Monatsexporte[Saldo],Monatsexporte[Jahr],$B$4,Monatsexporte[Monat],5,Monatsexporte[Konto],B105)</f>
        <v>868.44</v>
      </c>
      <c r="U105" s="15">
        <f>SUMIFS(Monatsexporte[Saldo],Monatsexporte[Jahr],$B$5,Monatsexporte[Monat],5,Monatsexporte[Konto],B105)</f>
        <v>0</v>
      </c>
      <c r="V105" s="22">
        <f t="shared" si="48"/>
        <v>0</v>
      </c>
      <c r="W105" s="15">
        <f>SUMIFS(Monatsexporte[Saldo],Monatsexporte[Jahr],$B$4,Monatsexporte[Monat],6,Monatsexporte[Konto],B105)</f>
        <v>0</v>
      </c>
      <c r="X105" s="15">
        <f>SUMIFS(Monatsexporte[Saldo],Monatsexporte[Jahr],$B$5,Monatsexporte[Monat],6,Monatsexporte[Konto],B105)</f>
        <v>0</v>
      </c>
      <c r="Y105" s="22">
        <f t="shared" si="49"/>
        <v>0</v>
      </c>
      <c r="Z105" s="15">
        <f>SUMIFS(Monatsexporte[Saldo],Monatsexporte[Jahr],$B$4,Monatsexporte[Monat],7,Monatsexporte[Konto],B105)</f>
        <v>0</v>
      </c>
      <c r="AA105" s="15">
        <f>SUMIFS(Monatsexporte[Saldo],Monatsexporte[Jahr],$B$5,Monatsexporte[Monat],7,Monatsexporte[Konto],B105)</f>
        <v>0</v>
      </c>
      <c r="AB105" s="22">
        <f t="shared" si="50"/>
        <v>0</v>
      </c>
      <c r="AC105" s="15">
        <f>SUMIFS(Monatsexporte[Saldo],Monatsexporte[Jahr],$B$4,Monatsexporte[Monat],8,Monatsexporte[Konto],B105)</f>
        <v>0</v>
      </c>
      <c r="AD105" s="15">
        <f>SUMIFS(Monatsexporte[Saldo],Monatsexporte[Jahr],$B$5,Monatsexporte[Monat],8,Monatsexporte[Konto],B105)</f>
        <v>0</v>
      </c>
      <c r="AE105" s="22">
        <f t="shared" si="51"/>
        <v>0</v>
      </c>
      <c r="AF105" s="15">
        <f>SUMIFS(Monatsexporte[Saldo],Monatsexporte[Jahr],$B$4,Monatsexporte[Monat],9,Monatsexporte[Konto],B105)</f>
        <v>0</v>
      </c>
      <c r="AG105" s="15">
        <f>SUMIFS(Monatsexporte[Saldo],Monatsexporte[Jahr],$B$5,Monatsexporte[Monat],9,Monatsexporte[Konto],B105)</f>
        <v>0</v>
      </c>
      <c r="AH105" s="22">
        <f t="shared" si="52"/>
        <v>0</v>
      </c>
      <c r="AI105" s="15">
        <f>SUMIFS(Monatsexporte[Saldo],Monatsexporte[Jahr],$B$4,Monatsexporte[Monat],10,Monatsexporte[Konto],B105)</f>
        <v>0</v>
      </c>
      <c r="AJ105" s="15">
        <f>SUMIFS(Monatsexporte[Saldo],Monatsexporte[Jahr],$B$5,Monatsexporte[Monat],10,Monatsexporte[Konto],B105)</f>
        <v>0</v>
      </c>
      <c r="AK105" s="22">
        <f t="shared" si="53"/>
        <v>0</v>
      </c>
      <c r="AL105" s="15">
        <f>SUMIFS(Monatsexporte[Saldo],Monatsexporte[Jahr],$B$4,Monatsexporte[Monat],11,Monatsexporte[Konto],B105)</f>
        <v>0</v>
      </c>
      <c r="AM105" s="15">
        <f>SUMIFS(Monatsexporte[Saldo],Monatsexporte[Jahr],$B$5,Monatsexporte[Monat],11,Monatsexporte[Konto],B105)</f>
        <v>0</v>
      </c>
      <c r="AN105" s="22">
        <f t="shared" si="54"/>
        <v>0</v>
      </c>
      <c r="AO105" s="15">
        <f>SUMIFS(Monatsexporte[Saldo],Monatsexporte[Jahr],$B$4,Monatsexporte[Monat],12,Monatsexporte[Konto],B105)</f>
        <v>0</v>
      </c>
      <c r="AP105" s="15">
        <f>SUMIFS(Monatsexporte[Saldo],Monatsexporte[Jahr],$B$5,Monatsexporte[Monat],12,Monatsexporte[Konto],B105)</f>
        <v>0</v>
      </c>
      <c r="AQ105" s="22">
        <f t="shared" si="55"/>
        <v>0</v>
      </c>
    </row>
    <row r="106" spans="1:43" outlineLevel="1" x14ac:dyDescent="0.45">
      <c r="A106" s="10" t="s">
        <v>498</v>
      </c>
      <c r="B106" s="39">
        <v>690241015</v>
      </c>
      <c r="C106" s="15">
        <v>402</v>
      </c>
      <c r="D106" s="15">
        <f ca="1">SUMIFS(Monatsexporte[Saldo],Monatsexporte[Jahr],$B$4,Monatsexporte[Monat],"&lt;="&amp;$B$8,Monatsexporte[Konto],B106)</f>
        <v>1206.9000000000001</v>
      </c>
      <c r="E106" s="15">
        <f ca="1">SUMIFS(Monatsexporte[Saldo],Monatsexporte[Jahr],$B$5,Monatsexporte[Monat],"&lt;="&amp;$B$8,Monatsexporte[Konto],B106)</f>
        <v>0</v>
      </c>
      <c r="F106" s="15">
        <f t="shared" ca="1" si="42"/>
        <v>1206.9000000000001</v>
      </c>
      <c r="G106" s="22">
        <f t="shared" ca="1" si="43"/>
        <v>0</v>
      </c>
      <c r="H106" s="15">
        <f>SUMIFS(Monatsexporte[Saldo],Monatsexporte[Jahr],$B$4,Monatsexporte[Monat],1,Monatsexporte[Konto],B106)</f>
        <v>0</v>
      </c>
      <c r="I106" s="15">
        <f>SUMIFS(Monatsexporte[Saldo],Monatsexporte[Jahr],$B$5,Monatsexporte[Monat],1,Monatsexporte[Konto],B106)</f>
        <v>0</v>
      </c>
      <c r="J106" s="22">
        <f t="shared" si="44"/>
        <v>0</v>
      </c>
      <c r="K106" s="15">
        <f>SUMIFS(Monatsexporte[Saldo],Monatsexporte[Jahr],$B$4,Monatsexporte[Monat],2,Monatsexporte[Konto],B106)</f>
        <v>0</v>
      </c>
      <c r="L106" s="15">
        <f>SUMIFS(Monatsexporte[Saldo],Monatsexporte[Jahr],$B$5,Monatsexporte[Monat],2,Monatsexporte[Konto],B106)</f>
        <v>0</v>
      </c>
      <c r="M106" s="22">
        <f t="shared" si="45"/>
        <v>0</v>
      </c>
      <c r="N106" s="15">
        <f>SUMIFS(Monatsexporte[Saldo],Monatsexporte[Jahr],$B$4,Monatsexporte[Monat],3,Monatsexporte[Konto],B106)</f>
        <v>402.3</v>
      </c>
      <c r="O106" s="15">
        <f>SUMIFS(Monatsexporte[Saldo],Monatsexporte[Jahr],$B$5,Monatsexporte[Monat],3,Monatsexporte[Konto],B106)</f>
        <v>0</v>
      </c>
      <c r="P106" s="22">
        <f t="shared" si="46"/>
        <v>0</v>
      </c>
      <c r="Q106" s="15">
        <f>SUMIFS(Monatsexporte[Saldo],Monatsexporte[Jahr],$B$4,Monatsexporte[Monat],4,Monatsexporte[Konto],B106)</f>
        <v>402.3</v>
      </c>
      <c r="R106" s="15">
        <f>SUMIFS(Monatsexporte[Saldo],Monatsexporte[Jahr],$B$5,Monatsexporte[Monat],4,Monatsexporte[Konto],B106)</f>
        <v>0</v>
      </c>
      <c r="S106" s="22">
        <f t="shared" si="47"/>
        <v>0</v>
      </c>
      <c r="T106" s="15">
        <f>SUMIFS(Monatsexporte[Saldo],Monatsexporte[Jahr],$B$4,Monatsexporte[Monat],5,Monatsexporte[Konto],B106)</f>
        <v>402.3</v>
      </c>
      <c r="U106" s="15">
        <f>SUMIFS(Monatsexporte[Saldo],Monatsexporte[Jahr],$B$5,Monatsexporte[Monat],5,Monatsexporte[Konto],B106)</f>
        <v>0</v>
      </c>
      <c r="V106" s="22">
        <f t="shared" si="48"/>
        <v>0</v>
      </c>
      <c r="W106" s="15">
        <f>SUMIFS(Monatsexporte[Saldo],Monatsexporte[Jahr],$B$4,Monatsexporte[Monat],6,Monatsexporte[Konto],B106)</f>
        <v>0</v>
      </c>
      <c r="X106" s="15">
        <f>SUMIFS(Monatsexporte[Saldo],Monatsexporte[Jahr],$B$5,Monatsexporte[Monat],6,Monatsexporte[Konto],B106)</f>
        <v>0</v>
      </c>
      <c r="Y106" s="22">
        <f t="shared" si="49"/>
        <v>0</v>
      </c>
      <c r="Z106" s="15">
        <f>SUMIFS(Monatsexporte[Saldo],Monatsexporte[Jahr],$B$4,Monatsexporte[Monat],7,Monatsexporte[Konto],B106)</f>
        <v>0</v>
      </c>
      <c r="AA106" s="15">
        <f>SUMIFS(Monatsexporte[Saldo],Monatsexporte[Jahr],$B$5,Monatsexporte[Monat],7,Monatsexporte[Konto],B106)</f>
        <v>0</v>
      </c>
      <c r="AB106" s="22">
        <f t="shared" si="50"/>
        <v>0</v>
      </c>
      <c r="AC106" s="15">
        <f>SUMIFS(Monatsexporte[Saldo],Monatsexporte[Jahr],$B$4,Monatsexporte[Monat],8,Monatsexporte[Konto],B106)</f>
        <v>0</v>
      </c>
      <c r="AD106" s="15">
        <f>SUMIFS(Monatsexporte[Saldo],Monatsexporte[Jahr],$B$5,Monatsexporte[Monat],8,Monatsexporte[Konto],B106)</f>
        <v>0</v>
      </c>
      <c r="AE106" s="22">
        <f t="shared" si="51"/>
        <v>0</v>
      </c>
      <c r="AF106" s="15">
        <f>SUMIFS(Monatsexporte[Saldo],Monatsexporte[Jahr],$B$4,Monatsexporte[Monat],9,Monatsexporte[Konto],B106)</f>
        <v>0</v>
      </c>
      <c r="AG106" s="15">
        <f>SUMIFS(Monatsexporte[Saldo],Monatsexporte[Jahr],$B$5,Monatsexporte[Monat],9,Monatsexporte[Konto],B106)</f>
        <v>0</v>
      </c>
      <c r="AH106" s="22">
        <f t="shared" si="52"/>
        <v>0</v>
      </c>
      <c r="AI106" s="15">
        <f>SUMIFS(Monatsexporte[Saldo],Monatsexporte[Jahr],$B$4,Monatsexporte[Monat],10,Monatsexporte[Konto],B106)</f>
        <v>0</v>
      </c>
      <c r="AJ106" s="15">
        <f>SUMIFS(Monatsexporte[Saldo],Monatsexporte[Jahr],$B$5,Monatsexporte[Monat],10,Monatsexporte[Konto],B106)</f>
        <v>0</v>
      </c>
      <c r="AK106" s="22">
        <f t="shared" si="53"/>
        <v>0</v>
      </c>
      <c r="AL106" s="15">
        <f>SUMIFS(Monatsexporte[Saldo],Monatsexporte[Jahr],$B$4,Monatsexporte[Monat],11,Monatsexporte[Konto],B106)</f>
        <v>0</v>
      </c>
      <c r="AM106" s="15">
        <f>SUMIFS(Monatsexporte[Saldo],Monatsexporte[Jahr],$B$5,Monatsexporte[Monat],11,Monatsexporte[Konto],B106)</f>
        <v>0</v>
      </c>
      <c r="AN106" s="22">
        <f t="shared" si="54"/>
        <v>0</v>
      </c>
      <c r="AO106" s="15">
        <f>SUMIFS(Monatsexporte[Saldo],Monatsexporte[Jahr],$B$4,Monatsexporte[Monat],12,Monatsexporte[Konto],B106)</f>
        <v>0</v>
      </c>
      <c r="AP106" s="15">
        <f>SUMIFS(Monatsexporte[Saldo],Monatsexporte[Jahr],$B$5,Monatsexporte[Monat],12,Monatsexporte[Konto],B106)</f>
        <v>0</v>
      </c>
      <c r="AQ106" s="22">
        <f t="shared" si="55"/>
        <v>0</v>
      </c>
    </row>
    <row r="107" spans="1:43" outlineLevel="1" x14ac:dyDescent="0.45">
      <c r="A107" s="10" t="s">
        <v>499</v>
      </c>
      <c r="B107" s="39">
        <v>690241021</v>
      </c>
      <c r="C107" s="15">
        <v>504</v>
      </c>
      <c r="D107" s="15">
        <f ca="1">SUMIFS(Monatsexporte[Saldo],Monatsexporte[Jahr],$B$4,Monatsexporte[Monat],"&lt;="&amp;$B$8,Monatsexporte[Konto],B107)</f>
        <v>1512.66</v>
      </c>
      <c r="E107" s="15">
        <f ca="1">SUMIFS(Monatsexporte[Saldo],Monatsexporte[Jahr],$B$5,Monatsexporte[Monat],"&lt;="&amp;$B$8,Monatsexporte[Konto],B107)</f>
        <v>0</v>
      </c>
      <c r="F107" s="15">
        <f t="shared" ca="1" si="42"/>
        <v>1512.66</v>
      </c>
      <c r="G107" s="22">
        <f t="shared" ca="1" si="43"/>
        <v>0</v>
      </c>
      <c r="H107" s="15">
        <f>SUMIFS(Monatsexporte[Saldo],Monatsexporte[Jahr],$B$4,Monatsexporte[Monat],1,Monatsexporte[Konto],B107)</f>
        <v>0</v>
      </c>
      <c r="I107" s="15">
        <f>SUMIFS(Monatsexporte[Saldo],Monatsexporte[Jahr],$B$5,Monatsexporte[Monat],1,Monatsexporte[Konto],B107)</f>
        <v>0</v>
      </c>
      <c r="J107" s="22">
        <f t="shared" si="44"/>
        <v>0</v>
      </c>
      <c r="K107" s="15">
        <f>SUMIFS(Monatsexporte[Saldo],Monatsexporte[Jahr],$B$4,Monatsexporte[Monat],2,Monatsexporte[Konto],B107)</f>
        <v>0</v>
      </c>
      <c r="L107" s="15">
        <f>SUMIFS(Monatsexporte[Saldo],Monatsexporte[Jahr],$B$5,Monatsexporte[Monat],2,Monatsexporte[Konto],B107)</f>
        <v>0</v>
      </c>
      <c r="M107" s="22">
        <f t="shared" si="45"/>
        <v>0</v>
      </c>
      <c r="N107" s="15">
        <f>SUMIFS(Monatsexporte[Saldo],Monatsexporte[Jahr],$B$4,Monatsexporte[Monat],3,Monatsexporte[Konto],B107)</f>
        <v>504.22</v>
      </c>
      <c r="O107" s="15">
        <f>SUMIFS(Monatsexporte[Saldo],Monatsexporte[Jahr],$B$5,Monatsexporte[Monat],3,Monatsexporte[Konto],B107)</f>
        <v>0</v>
      </c>
      <c r="P107" s="22">
        <f t="shared" si="46"/>
        <v>0</v>
      </c>
      <c r="Q107" s="15">
        <f>SUMIFS(Monatsexporte[Saldo],Monatsexporte[Jahr],$B$4,Monatsexporte[Monat],4,Monatsexporte[Konto],B107)</f>
        <v>504.22</v>
      </c>
      <c r="R107" s="15">
        <f>SUMIFS(Monatsexporte[Saldo],Monatsexporte[Jahr],$B$5,Monatsexporte[Monat],4,Monatsexporte[Konto],B107)</f>
        <v>0</v>
      </c>
      <c r="S107" s="22">
        <f t="shared" si="47"/>
        <v>0</v>
      </c>
      <c r="T107" s="15">
        <f>SUMIFS(Monatsexporte[Saldo],Monatsexporte[Jahr],$B$4,Monatsexporte[Monat],5,Monatsexporte[Konto],B107)</f>
        <v>504.22</v>
      </c>
      <c r="U107" s="15">
        <f>SUMIFS(Monatsexporte[Saldo],Monatsexporte[Jahr],$B$5,Monatsexporte[Monat],5,Monatsexporte[Konto],B107)</f>
        <v>0</v>
      </c>
      <c r="V107" s="22">
        <f t="shared" si="48"/>
        <v>0</v>
      </c>
      <c r="W107" s="15">
        <f>SUMIFS(Monatsexporte[Saldo],Monatsexporte[Jahr],$B$4,Monatsexporte[Monat],6,Monatsexporte[Konto],B107)</f>
        <v>0</v>
      </c>
      <c r="X107" s="15">
        <f>SUMIFS(Monatsexporte[Saldo],Monatsexporte[Jahr],$B$5,Monatsexporte[Monat],6,Monatsexporte[Konto],B107)</f>
        <v>0</v>
      </c>
      <c r="Y107" s="22">
        <f t="shared" si="49"/>
        <v>0</v>
      </c>
      <c r="Z107" s="15">
        <f>SUMIFS(Monatsexporte[Saldo],Monatsexporte[Jahr],$B$4,Monatsexporte[Monat],7,Monatsexporte[Konto],B107)</f>
        <v>0</v>
      </c>
      <c r="AA107" s="15">
        <f>SUMIFS(Monatsexporte[Saldo],Monatsexporte[Jahr],$B$5,Monatsexporte[Monat],7,Monatsexporte[Konto],B107)</f>
        <v>0</v>
      </c>
      <c r="AB107" s="22">
        <f t="shared" si="50"/>
        <v>0</v>
      </c>
      <c r="AC107" s="15">
        <f>SUMIFS(Monatsexporte[Saldo],Monatsexporte[Jahr],$B$4,Monatsexporte[Monat],8,Monatsexporte[Konto],B107)</f>
        <v>0</v>
      </c>
      <c r="AD107" s="15">
        <f>SUMIFS(Monatsexporte[Saldo],Monatsexporte[Jahr],$B$5,Monatsexporte[Monat],8,Monatsexporte[Konto],B107)</f>
        <v>0</v>
      </c>
      <c r="AE107" s="22">
        <f t="shared" si="51"/>
        <v>0</v>
      </c>
      <c r="AF107" s="15">
        <f>SUMIFS(Monatsexporte[Saldo],Monatsexporte[Jahr],$B$4,Monatsexporte[Monat],9,Monatsexporte[Konto],B107)</f>
        <v>0</v>
      </c>
      <c r="AG107" s="15">
        <f>SUMIFS(Monatsexporte[Saldo],Monatsexporte[Jahr],$B$5,Monatsexporte[Monat],9,Monatsexporte[Konto],B107)</f>
        <v>0</v>
      </c>
      <c r="AH107" s="22">
        <f t="shared" si="52"/>
        <v>0</v>
      </c>
      <c r="AI107" s="15">
        <f>SUMIFS(Monatsexporte[Saldo],Monatsexporte[Jahr],$B$4,Monatsexporte[Monat],10,Monatsexporte[Konto],B107)</f>
        <v>0</v>
      </c>
      <c r="AJ107" s="15">
        <f>SUMIFS(Monatsexporte[Saldo],Monatsexporte[Jahr],$B$5,Monatsexporte[Monat],10,Monatsexporte[Konto],B107)</f>
        <v>0</v>
      </c>
      <c r="AK107" s="22">
        <f t="shared" si="53"/>
        <v>0</v>
      </c>
      <c r="AL107" s="15">
        <f>SUMIFS(Monatsexporte[Saldo],Monatsexporte[Jahr],$B$4,Monatsexporte[Monat],11,Monatsexporte[Konto],B107)</f>
        <v>0</v>
      </c>
      <c r="AM107" s="15">
        <f>SUMIFS(Monatsexporte[Saldo],Monatsexporte[Jahr],$B$5,Monatsexporte[Monat],11,Monatsexporte[Konto],B107)</f>
        <v>0</v>
      </c>
      <c r="AN107" s="22">
        <f t="shared" si="54"/>
        <v>0</v>
      </c>
      <c r="AO107" s="15">
        <f>SUMIFS(Monatsexporte[Saldo],Monatsexporte[Jahr],$B$4,Monatsexporte[Monat],12,Monatsexporte[Konto],B107)</f>
        <v>0</v>
      </c>
      <c r="AP107" s="15">
        <f>SUMIFS(Monatsexporte[Saldo],Monatsexporte[Jahr],$B$5,Monatsexporte[Monat],12,Monatsexporte[Konto],B107)</f>
        <v>0</v>
      </c>
      <c r="AQ107" s="22">
        <f t="shared" si="55"/>
        <v>0</v>
      </c>
    </row>
    <row r="108" spans="1:43" outlineLevel="1" x14ac:dyDescent="0.45">
      <c r="A108" s="10" t="s">
        <v>500</v>
      </c>
      <c r="B108" s="39">
        <v>690241024</v>
      </c>
      <c r="C108" s="15">
        <v>1757</v>
      </c>
      <c r="D108" s="15">
        <f ca="1">SUMIFS(Monatsexporte[Saldo],Monatsexporte[Jahr],$B$4,Monatsexporte[Monat],"&lt;="&amp;$B$8,Monatsexporte[Konto],B108)</f>
        <v>5270.7300000000005</v>
      </c>
      <c r="E108" s="15">
        <f ca="1">SUMIFS(Monatsexporte[Saldo],Monatsexporte[Jahr],$B$5,Monatsexporte[Monat],"&lt;="&amp;$B$8,Monatsexporte[Konto],B108)</f>
        <v>0</v>
      </c>
      <c r="F108" s="15">
        <f t="shared" ca="1" si="42"/>
        <v>5270.7300000000005</v>
      </c>
      <c r="G108" s="22">
        <f t="shared" ca="1" si="43"/>
        <v>0</v>
      </c>
      <c r="H108" s="15">
        <f>SUMIFS(Monatsexporte[Saldo],Monatsexporte[Jahr],$B$4,Monatsexporte[Monat],1,Monatsexporte[Konto],B108)</f>
        <v>0</v>
      </c>
      <c r="I108" s="15">
        <f>SUMIFS(Monatsexporte[Saldo],Monatsexporte[Jahr],$B$5,Monatsexporte[Monat],1,Monatsexporte[Konto],B108)</f>
        <v>0</v>
      </c>
      <c r="J108" s="22">
        <f t="shared" si="44"/>
        <v>0</v>
      </c>
      <c r="K108" s="15">
        <f>SUMIFS(Monatsexporte[Saldo],Monatsexporte[Jahr],$B$4,Monatsexporte[Monat],2,Monatsexporte[Konto],B108)</f>
        <v>0</v>
      </c>
      <c r="L108" s="15">
        <f>SUMIFS(Monatsexporte[Saldo],Monatsexporte[Jahr],$B$5,Monatsexporte[Monat],2,Monatsexporte[Konto],B108)</f>
        <v>0</v>
      </c>
      <c r="M108" s="22">
        <f t="shared" si="45"/>
        <v>0</v>
      </c>
      <c r="N108" s="15">
        <f>SUMIFS(Monatsexporte[Saldo],Monatsexporte[Jahr],$B$4,Monatsexporte[Monat],3,Monatsexporte[Konto],B108)</f>
        <v>1756.91</v>
      </c>
      <c r="O108" s="15">
        <f>SUMIFS(Monatsexporte[Saldo],Monatsexporte[Jahr],$B$5,Monatsexporte[Monat],3,Monatsexporte[Konto],B108)</f>
        <v>0</v>
      </c>
      <c r="P108" s="22">
        <f t="shared" si="46"/>
        <v>0</v>
      </c>
      <c r="Q108" s="15">
        <f>SUMIFS(Monatsexporte[Saldo],Monatsexporte[Jahr],$B$4,Monatsexporte[Monat],4,Monatsexporte[Konto],B108)</f>
        <v>1756.91</v>
      </c>
      <c r="R108" s="15">
        <f>SUMIFS(Monatsexporte[Saldo],Monatsexporte[Jahr],$B$5,Monatsexporte[Monat],4,Monatsexporte[Konto],B108)</f>
        <v>0</v>
      </c>
      <c r="S108" s="22">
        <f t="shared" si="47"/>
        <v>0</v>
      </c>
      <c r="T108" s="15">
        <f>SUMIFS(Monatsexporte[Saldo],Monatsexporte[Jahr],$B$4,Monatsexporte[Monat],5,Monatsexporte[Konto],B108)</f>
        <v>1756.91</v>
      </c>
      <c r="U108" s="15">
        <f>SUMIFS(Monatsexporte[Saldo],Monatsexporte[Jahr],$B$5,Monatsexporte[Monat],5,Monatsexporte[Konto],B108)</f>
        <v>0</v>
      </c>
      <c r="V108" s="22">
        <f t="shared" si="48"/>
        <v>0</v>
      </c>
      <c r="W108" s="15">
        <f>SUMIFS(Monatsexporte[Saldo],Monatsexporte[Jahr],$B$4,Monatsexporte[Monat],6,Monatsexporte[Konto],B108)</f>
        <v>0</v>
      </c>
      <c r="X108" s="15">
        <f>SUMIFS(Monatsexporte[Saldo],Monatsexporte[Jahr],$B$5,Monatsexporte[Monat],6,Monatsexporte[Konto],B108)</f>
        <v>0</v>
      </c>
      <c r="Y108" s="22">
        <f t="shared" si="49"/>
        <v>0</v>
      </c>
      <c r="Z108" s="15">
        <f>SUMIFS(Monatsexporte[Saldo],Monatsexporte[Jahr],$B$4,Monatsexporte[Monat],7,Monatsexporte[Konto],B108)</f>
        <v>0</v>
      </c>
      <c r="AA108" s="15">
        <f>SUMIFS(Monatsexporte[Saldo],Monatsexporte[Jahr],$B$5,Monatsexporte[Monat],7,Monatsexporte[Konto],B108)</f>
        <v>0</v>
      </c>
      <c r="AB108" s="22">
        <f t="shared" si="50"/>
        <v>0</v>
      </c>
      <c r="AC108" s="15">
        <f>SUMIFS(Monatsexporte[Saldo],Monatsexporte[Jahr],$B$4,Monatsexporte[Monat],8,Monatsexporte[Konto],B108)</f>
        <v>0</v>
      </c>
      <c r="AD108" s="15">
        <f>SUMIFS(Monatsexporte[Saldo],Monatsexporte[Jahr],$B$5,Monatsexporte[Monat],8,Monatsexporte[Konto],B108)</f>
        <v>0</v>
      </c>
      <c r="AE108" s="22">
        <f t="shared" si="51"/>
        <v>0</v>
      </c>
      <c r="AF108" s="15">
        <f>SUMIFS(Monatsexporte[Saldo],Monatsexporte[Jahr],$B$4,Monatsexporte[Monat],9,Monatsexporte[Konto],B108)</f>
        <v>0</v>
      </c>
      <c r="AG108" s="15">
        <f>SUMIFS(Monatsexporte[Saldo],Monatsexporte[Jahr],$B$5,Monatsexporte[Monat],9,Monatsexporte[Konto],B108)</f>
        <v>0</v>
      </c>
      <c r="AH108" s="22">
        <f t="shared" si="52"/>
        <v>0</v>
      </c>
      <c r="AI108" s="15">
        <f>SUMIFS(Monatsexporte[Saldo],Monatsexporte[Jahr],$B$4,Monatsexporte[Monat],10,Monatsexporte[Konto],B108)</f>
        <v>0</v>
      </c>
      <c r="AJ108" s="15">
        <f>SUMIFS(Monatsexporte[Saldo],Monatsexporte[Jahr],$B$5,Monatsexporte[Monat],10,Monatsexporte[Konto],B108)</f>
        <v>0</v>
      </c>
      <c r="AK108" s="22">
        <f t="shared" si="53"/>
        <v>0</v>
      </c>
      <c r="AL108" s="15">
        <f>SUMIFS(Monatsexporte[Saldo],Monatsexporte[Jahr],$B$4,Monatsexporte[Monat],11,Monatsexporte[Konto],B108)</f>
        <v>0</v>
      </c>
      <c r="AM108" s="15">
        <f>SUMIFS(Monatsexporte[Saldo],Monatsexporte[Jahr],$B$5,Monatsexporte[Monat],11,Monatsexporte[Konto],B108)</f>
        <v>0</v>
      </c>
      <c r="AN108" s="22">
        <f t="shared" si="54"/>
        <v>0</v>
      </c>
      <c r="AO108" s="15">
        <f>SUMIFS(Monatsexporte[Saldo],Monatsexporte[Jahr],$B$4,Monatsexporte[Monat],12,Monatsexporte[Konto],B108)</f>
        <v>0</v>
      </c>
      <c r="AP108" s="15">
        <f>SUMIFS(Monatsexporte[Saldo],Monatsexporte[Jahr],$B$5,Monatsexporte[Monat],12,Monatsexporte[Konto],B108)</f>
        <v>0</v>
      </c>
      <c r="AQ108" s="22">
        <f t="shared" si="55"/>
        <v>0</v>
      </c>
    </row>
    <row r="109" spans="1:43" outlineLevel="1" x14ac:dyDescent="0.45">
      <c r="A109" s="10" t="s">
        <v>501</v>
      </c>
      <c r="B109" s="39">
        <v>690241065</v>
      </c>
      <c r="C109" s="15">
        <v>184</v>
      </c>
      <c r="D109" s="15">
        <f ca="1">SUMIFS(Monatsexporte[Saldo],Monatsexporte[Jahr],$B$4,Monatsexporte[Monat],"&lt;="&amp;$B$8,Monatsexporte[Konto],B109)</f>
        <v>553.04999999999995</v>
      </c>
      <c r="E109" s="15">
        <f ca="1">SUMIFS(Monatsexporte[Saldo],Monatsexporte[Jahr],$B$5,Monatsexporte[Monat],"&lt;="&amp;$B$8,Monatsexporte[Konto],B109)</f>
        <v>0</v>
      </c>
      <c r="F109" s="15">
        <f t="shared" ca="1" si="42"/>
        <v>553.04999999999995</v>
      </c>
      <c r="G109" s="22">
        <f t="shared" ca="1" si="43"/>
        <v>0</v>
      </c>
      <c r="H109" s="15">
        <f>SUMIFS(Monatsexporte[Saldo],Monatsexporte[Jahr],$B$4,Monatsexporte[Monat],1,Monatsexporte[Konto],B109)</f>
        <v>0</v>
      </c>
      <c r="I109" s="15">
        <f>SUMIFS(Monatsexporte[Saldo],Monatsexporte[Jahr],$B$5,Monatsexporte[Monat],1,Monatsexporte[Konto],B109)</f>
        <v>0</v>
      </c>
      <c r="J109" s="22">
        <f t="shared" si="44"/>
        <v>0</v>
      </c>
      <c r="K109" s="15">
        <f>SUMIFS(Monatsexporte[Saldo],Monatsexporte[Jahr],$B$4,Monatsexporte[Monat],2,Monatsexporte[Konto],B109)</f>
        <v>0</v>
      </c>
      <c r="L109" s="15">
        <f>SUMIFS(Monatsexporte[Saldo],Monatsexporte[Jahr],$B$5,Monatsexporte[Monat],2,Monatsexporte[Konto],B109)</f>
        <v>0</v>
      </c>
      <c r="M109" s="22">
        <f t="shared" si="45"/>
        <v>0</v>
      </c>
      <c r="N109" s="15">
        <f>SUMIFS(Monatsexporte[Saldo],Monatsexporte[Jahr],$B$4,Monatsexporte[Monat],3,Monatsexporte[Konto],B109)</f>
        <v>184.35</v>
      </c>
      <c r="O109" s="15">
        <f>SUMIFS(Monatsexporte[Saldo],Monatsexporte[Jahr],$B$5,Monatsexporte[Monat],3,Monatsexporte[Konto],B109)</f>
        <v>0</v>
      </c>
      <c r="P109" s="22">
        <f t="shared" si="46"/>
        <v>0</v>
      </c>
      <c r="Q109" s="15">
        <f>SUMIFS(Monatsexporte[Saldo],Monatsexporte[Jahr],$B$4,Monatsexporte[Monat],4,Monatsexporte[Konto],B109)</f>
        <v>184.35</v>
      </c>
      <c r="R109" s="15">
        <f>SUMIFS(Monatsexporte[Saldo],Monatsexporte[Jahr],$B$5,Monatsexporte[Monat],4,Monatsexporte[Konto],B109)</f>
        <v>0</v>
      </c>
      <c r="S109" s="22">
        <f t="shared" si="47"/>
        <v>0</v>
      </c>
      <c r="T109" s="15">
        <f>SUMIFS(Monatsexporte[Saldo],Monatsexporte[Jahr],$B$4,Monatsexporte[Monat],5,Monatsexporte[Konto],B109)</f>
        <v>184.35</v>
      </c>
      <c r="U109" s="15">
        <f>SUMIFS(Monatsexporte[Saldo],Monatsexporte[Jahr],$B$5,Monatsexporte[Monat],5,Monatsexporte[Konto],B109)</f>
        <v>0</v>
      </c>
      <c r="V109" s="22">
        <f t="shared" si="48"/>
        <v>0</v>
      </c>
      <c r="W109" s="15">
        <f>SUMIFS(Monatsexporte[Saldo],Monatsexporte[Jahr],$B$4,Monatsexporte[Monat],6,Monatsexporte[Konto],B109)</f>
        <v>0</v>
      </c>
      <c r="X109" s="15">
        <f>SUMIFS(Monatsexporte[Saldo],Monatsexporte[Jahr],$B$5,Monatsexporte[Monat],6,Monatsexporte[Konto],B109)</f>
        <v>0</v>
      </c>
      <c r="Y109" s="22">
        <f t="shared" si="49"/>
        <v>0</v>
      </c>
      <c r="Z109" s="15">
        <f>SUMIFS(Monatsexporte[Saldo],Monatsexporte[Jahr],$B$4,Monatsexporte[Monat],7,Monatsexporte[Konto],B109)</f>
        <v>0</v>
      </c>
      <c r="AA109" s="15">
        <f>SUMIFS(Monatsexporte[Saldo],Monatsexporte[Jahr],$B$5,Monatsexporte[Monat],7,Monatsexporte[Konto],B109)</f>
        <v>0</v>
      </c>
      <c r="AB109" s="22">
        <f t="shared" si="50"/>
        <v>0</v>
      </c>
      <c r="AC109" s="15">
        <f>SUMIFS(Monatsexporte[Saldo],Monatsexporte[Jahr],$B$4,Monatsexporte[Monat],8,Monatsexporte[Konto],B109)</f>
        <v>0</v>
      </c>
      <c r="AD109" s="15">
        <f>SUMIFS(Monatsexporte[Saldo],Monatsexporte[Jahr],$B$5,Monatsexporte[Monat],8,Monatsexporte[Konto],B109)</f>
        <v>0</v>
      </c>
      <c r="AE109" s="22">
        <f t="shared" si="51"/>
        <v>0</v>
      </c>
      <c r="AF109" s="15">
        <f>SUMIFS(Monatsexporte[Saldo],Monatsexporte[Jahr],$B$4,Monatsexporte[Monat],9,Monatsexporte[Konto],B109)</f>
        <v>0</v>
      </c>
      <c r="AG109" s="15">
        <f>SUMIFS(Monatsexporte[Saldo],Monatsexporte[Jahr],$B$5,Monatsexporte[Monat],9,Monatsexporte[Konto],B109)</f>
        <v>0</v>
      </c>
      <c r="AH109" s="22">
        <f t="shared" si="52"/>
        <v>0</v>
      </c>
      <c r="AI109" s="15">
        <f>SUMIFS(Monatsexporte[Saldo],Monatsexporte[Jahr],$B$4,Monatsexporte[Monat],10,Monatsexporte[Konto],B109)</f>
        <v>0</v>
      </c>
      <c r="AJ109" s="15">
        <f>SUMIFS(Monatsexporte[Saldo],Monatsexporte[Jahr],$B$5,Monatsexporte[Monat],10,Monatsexporte[Konto],B109)</f>
        <v>0</v>
      </c>
      <c r="AK109" s="22">
        <f t="shared" si="53"/>
        <v>0</v>
      </c>
      <c r="AL109" s="15">
        <f>SUMIFS(Monatsexporte[Saldo],Monatsexporte[Jahr],$B$4,Monatsexporte[Monat],11,Monatsexporte[Konto],B109)</f>
        <v>0</v>
      </c>
      <c r="AM109" s="15">
        <f>SUMIFS(Monatsexporte[Saldo],Monatsexporte[Jahr],$B$5,Monatsexporte[Monat],11,Monatsexporte[Konto],B109)</f>
        <v>0</v>
      </c>
      <c r="AN109" s="22">
        <f t="shared" si="54"/>
        <v>0</v>
      </c>
      <c r="AO109" s="15">
        <f>SUMIFS(Monatsexporte[Saldo],Monatsexporte[Jahr],$B$4,Monatsexporte[Monat],12,Monatsexporte[Konto],B109)</f>
        <v>0</v>
      </c>
      <c r="AP109" s="15">
        <f>SUMIFS(Monatsexporte[Saldo],Monatsexporte[Jahr],$B$5,Monatsexporte[Monat],12,Monatsexporte[Konto],B109)</f>
        <v>0</v>
      </c>
      <c r="AQ109" s="22">
        <f t="shared" si="55"/>
        <v>0</v>
      </c>
    </row>
    <row r="110" spans="1:43" outlineLevel="1" x14ac:dyDescent="0.45">
      <c r="A110" s="10" t="s">
        <v>502</v>
      </c>
      <c r="B110" s="39">
        <v>690241524</v>
      </c>
      <c r="C110" s="15">
        <v>6464</v>
      </c>
      <c r="D110" s="15">
        <f ca="1">SUMIFS(Monatsexporte[Saldo],Monatsexporte[Jahr],$B$4,Monatsexporte[Monat],"&lt;="&amp;$B$8,Monatsexporte[Konto],B110)</f>
        <v>19391.670000000002</v>
      </c>
      <c r="E110" s="15">
        <f ca="1">SUMIFS(Monatsexporte[Saldo],Monatsexporte[Jahr],$B$5,Monatsexporte[Monat],"&lt;="&amp;$B$8,Monatsexporte[Konto],B110)</f>
        <v>0</v>
      </c>
      <c r="F110" s="15">
        <f t="shared" ca="1" si="42"/>
        <v>19391.670000000002</v>
      </c>
      <c r="G110" s="22">
        <f t="shared" ca="1" si="43"/>
        <v>0</v>
      </c>
      <c r="H110" s="15">
        <f>SUMIFS(Monatsexporte[Saldo],Monatsexporte[Jahr],$B$4,Monatsexporte[Monat],1,Monatsexporte[Konto],B110)</f>
        <v>0</v>
      </c>
      <c r="I110" s="15">
        <f>SUMIFS(Monatsexporte[Saldo],Monatsexporte[Jahr],$B$5,Monatsexporte[Monat],1,Monatsexporte[Konto],B110)</f>
        <v>0</v>
      </c>
      <c r="J110" s="22">
        <f t="shared" si="44"/>
        <v>0</v>
      </c>
      <c r="K110" s="15">
        <f>SUMIFS(Monatsexporte[Saldo],Monatsexporte[Jahr],$B$4,Monatsexporte[Monat],2,Monatsexporte[Konto],B110)</f>
        <v>0</v>
      </c>
      <c r="L110" s="15">
        <f>SUMIFS(Monatsexporte[Saldo],Monatsexporte[Jahr],$B$5,Monatsexporte[Monat],2,Monatsexporte[Konto],B110)</f>
        <v>0</v>
      </c>
      <c r="M110" s="22">
        <f t="shared" si="45"/>
        <v>0</v>
      </c>
      <c r="N110" s="15">
        <f>SUMIFS(Monatsexporte[Saldo],Monatsexporte[Jahr],$B$4,Monatsexporte[Monat],3,Monatsexporte[Konto],B110)</f>
        <v>6463.89</v>
      </c>
      <c r="O110" s="15">
        <f>SUMIFS(Monatsexporte[Saldo],Monatsexporte[Jahr],$B$5,Monatsexporte[Monat],3,Monatsexporte[Konto],B110)</f>
        <v>0</v>
      </c>
      <c r="P110" s="22">
        <f t="shared" si="46"/>
        <v>0</v>
      </c>
      <c r="Q110" s="15">
        <f>SUMIFS(Monatsexporte[Saldo],Monatsexporte[Jahr],$B$4,Monatsexporte[Monat],4,Monatsexporte[Konto],B110)</f>
        <v>6463.89</v>
      </c>
      <c r="R110" s="15">
        <f>SUMIFS(Monatsexporte[Saldo],Monatsexporte[Jahr],$B$5,Monatsexporte[Monat],4,Monatsexporte[Konto],B110)</f>
        <v>0</v>
      </c>
      <c r="S110" s="22">
        <f t="shared" si="47"/>
        <v>0</v>
      </c>
      <c r="T110" s="15">
        <f>SUMIFS(Monatsexporte[Saldo],Monatsexporte[Jahr],$B$4,Monatsexporte[Monat],5,Monatsexporte[Konto],B110)</f>
        <v>6463.89</v>
      </c>
      <c r="U110" s="15">
        <f>SUMIFS(Monatsexporte[Saldo],Monatsexporte[Jahr],$B$5,Monatsexporte[Monat],5,Monatsexporte[Konto],B110)</f>
        <v>0</v>
      </c>
      <c r="V110" s="22">
        <f t="shared" si="48"/>
        <v>0</v>
      </c>
      <c r="W110" s="15">
        <f>SUMIFS(Monatsexporte[Saldo],Monatsexporte[Jahr],$B$4,Monatsexporte[Monat],6,Monatsexporte[Konto],B110)</f>
        <v>0</v>
      </c>
      <c r="X110" s="15">
        <f>SUMIFS(Monatsexporte[Saldo],Monatsexporte[Jahr],$B$5,Monatsexporte[Monat],6,Monatsexporte[Konto],B110)</f>
        <v>0</v>
      </c>
      <c r="Y110" s="22">
        <f t="shared" si="49"/>
        <v>0</v>
      </c>
      <c r="Z110" s="15">
        <f>SUMIFS(Monatsexporte[Saldo],Monatsexporte[Jahr],$B$4,Monatsexporte[Monat],7,Monatsexporte[Konto],B110)</f>
        <v>0</v>
      </c>
      <c r="AA110" s="15">
        <f>SUMIFS(Monatsexporte[Saldo],Monatsexporte[Jahr],$B$5,Monatsexporte[Monat],7,Monatsexporte[Konto],B110)</f>
        <v>0</v>
      </c>
      <c r="AB110" s="22">
        <f t="shared" si="50"/>
        <v>0</v>
      </c>
      <c r="AC110" s="15">
        <f>SUMIFS(Monatsexporte[Saldo],Monatsexporte[Jahr],$B$4,Monatsexporte[Monat],8,Monatsexporte[Konto],B110)</f>
        <v>0</v>
      </c>
      <c r="AD110" s="15">
        <f>SUMIFS(Monatsexporte[Saldo],Monatsexporte[Jahr],$B$5,Monatsexporte[Monat],8,Monatsexporte[Konto],B110)</f>
        <v>0</v>
      </c>
      <c r="AE110" s="22">
        <f t="shared" si="51"/>
        <v>0</v>
      </c>
      <c r="AF110" s="15">
        <f>SUMIFS(Monatsexporte[Saldo],Monatsexporte[Jahr],$B$4,Monatsexporte[Monat],9,Monatsexporte[Konto],B110)</f>
        <v>0</v>
      </c>
      <c r="AG110" s="15">
        <f>SUMIFS(Monatsexporte[Saldo],Monatsexporte[Jahr],$B$5,Monatsexporte[Monat],9,Monatsexporte[Konto],B110)</f>
        <v>0</v>
      </c>
      <c r="AH110" s="22">
        <f t="shared" si="52"/>
        <v>0</v>
      </c>
      <c r="AI110" s="15">
        <f>SUMIFS(Monatsexporte[Saldo],Monatsexporte[Jahr],$B$4,Monatsexporte[Monat],10,Monatsexporte[Konto],B110)</f>
        <v>0</v>
      </c>
      <c r="AJ110" s="15">
        <f>SUMIFS(Monatsexporte[Saldo],Monatsexporte[Jahr],$B$5,Monatsexporte[Monat],10,Monatsexporte[Konto],B110)</f>
        <v>0</v>
      </c>
      <c r="AK110" s="22">
        <f t="shared" si="53"/>
        <v>0</v>
      </c>
      <c r="AL110" s="15">
        <f>SUMIFS(Monatsexporte[Saldo],Monatsexporte[Jahr],$B$4,Monatsexporte[Monat],11,Monatsexporte[Konto],B110)</f>
        <v>0</v>
      </c>
      <c r="AM110" s="15">
        <f>SUMIFS(Monatsexporte[Saldo],Monatsexporte[Jahr],$B$5,Monatsexporte[Monat],11,Monatsexporte[Konto],B110)</f>
        <v>0</v>
      </c>
      <c r="AN110" s="22">
        <f t="shared" si="54"/>
        <v>0</v>
      </c>
      <c r="AO110" s="15">
        <f>SUMIFS(Monatsexporte[Saldo],Monatsexporte[Jahr],$B$4,Monatsexporte[Monat],12,Monatsexporte[Konto],B110)</f>
        <v>0</v>
      </c>
      <c r="AP110" s="15">
        <f>SUMIFS(Monatsexporte[Saldo],Monatsexporte[Jahr],$B$5,Monatsexporte[Monat],12,Monatsexporte[Konto],B110)</f>
        <v>0</v>
      </c>
      <c r="AQ110" s="22">
        <f t="shared" si="55"/>
        <v>0</v>
      </c>
    </row>
    <row r="111" spans="1:43" outlineLevel="1" x14ac:dyDescent="0.45">
      <c r="A111" s="10" t="s">
        <v>503</v>
      </c>
      <c r="B111" s="39">
        <v>690241550</v>
      </c>
      <c r="C111" s="15">
        <v>2700</v>
      </c>
      <c r="D111" s="15">
        <f ca="1">SUMIFS(Monatsexporte[Saldo],Monatsexporte[Jahr],$B$4,Monatsexporte[Monat],"&lt;="&amp;$B$8,Monatsexporte[Konto],B111)</f>
        <v>8100</v>
      </c>
      <c r="E111" s="15">
        <f ca="1">SUMIFS(Monatsexporte[Saldo],Monatsexporte[Jahr],$B$5,Monatsexporte[Monat],"&lt;="&amp;$B$8,Monatsexporte[Konto],B111)</f>
        <v>0</v>
      </c>
      <c r="F111" s="15">
        <f t="shared" ca="1" si="42"/>
        <v>8100</v>
      </c>
      <c r="G111" s="22">
        <f t="shared" ca="1" si="43"/>
        <v>0</v>
      </c>
      <c r="H111" s="15">
        <f>SUMIFS(Monatsexporte[Saldo],Monatsexporte[Jahr],$B$4,Monatsexporte[Monat],1,Monatsexporte[Konto],B111)</f>
        <v>0</v>
      </c>
      <c r="I111" s="15">
        <f>SUMIFS(Monatsexporte[Saldo],Monatsexporte[Jahr],$B$5,Monatsexporte[Monat],1,Monatsexporte[Konto],B111)</f>
        <v>0</v>
      </c>
      <c r="J111" s="22">
        <f t="shared" si="44"/>
        <v>0</v>
      </c>
      <c r="K111" s="15">
        <f>SUMIFS(Monatsexporte[Saldo],Monatsexporte[Jahr],$B$4,Monatsexporte[Monat],2,Monatsexporte[Konto],B111)</f>
        <v>0</v>
      </c>
      <c r="L111" s="15">
        <f>SUMIFS(Monatsexporte[Saldo],Monatsexporte[Jahr],$B$5,Monatsexporte[Monat],2,Monatsexporte[Konto],B111)</f>
        <v>0</v>
      </c>
      <c r="M111" s="22">
        <f t="shared" si="45"/>
        <v>0</v>
      </c>
      <c r="N111" s="15">
        <f>SUMIFS(Monatsexporte[Saldo],Monatsexporte[Jahr],$B$4,Monatsexporte[Monat],3,Monatsexporte[Konto],B111)</f>
        <v>2700</v>
      </c>
      <c r="O111" s="15">
        <f>SUMIFS(Monatsexporte[Saldo],Monatsexporte[Jahr],$B$5,Monatsexporte[Monat],3,Monatsexporte[Konto],B111)</f>
        <v>0</v>
      </c>
      <c r="P111" s="22">
        <f t="shared" si="46"/>
        <v>0</v>
      </c>
      <c r="Q111" s="15">
        <f>SUMIFS(Monatsexporte[Saldo],Monatsexporte[Jahr],$B$4,Monatsexporte[Monat],4,Monatsexporte[Konto],B111)</f>
        <v>2700</v>
      </c>
      <c r="R111" s="15">
        <f>SUMIFS(Monatsexporte[Saldo],Monatsexporte[Jahr],$B$5,Monatsexporte[Monat],4,Monatsexporte[Konto],B111)</f>
        <v>0</v>
      </c>
      <c r="S111" s="22">
        <f t="shared" si="47"/>
        <v>0</v>
      </c>
      <c r="T111" s="15">
        <f>SUMIFS(Monatsexporte[Saldo],Monatsexporte[Jahr],$B$4,Monatsexporte[Monat],5,Monatsexporte[Konto],B111)</f>
        <v>2700</v>
      </c>
      <c r="U111" s="15">
        <f>SUMIFS(Monatsexporte[Saldo],Monatsexporte[Jahr],$B$5,Monatsexporte[Monat],5,Monatsexporte[Konto],B111)</f>
        <v>0</v>
      </c>
      <c r="V111" s="22">
        <f t="shared" si="48"/>
        <v>0</v>
      </c>
      <c r="W111" s="15">
        <f>SUMIFS(Monatsexporte[Saldo],Monatsexporte[Jahr],$B$4,Monatsexporte[Monat],6,Monatsexporte[Konto],B111)</f>
        <v>0</v>
      </c>
      <c r="X111" s="15">
        <f>SUMIFS(Monatsexporte[Saldo],Monatsexporte[Jahr],$B$5,Monatsexporte[Monat],6,Monatsexporte[Konto],B111)</f>
        <v>0</v>
      </c>
      <c r="Y111" s="22">
        <f t="shared" si="49"/>
        <v>0</v>
      </c>
      <c r="Z111" s="15">
        <f>SUMIFS(Monatsexporte[Saldo],Monatsexporte[Jahr],$B$4,Monatsexporte[Monat],7,Monatsexporte[Konto],B111)</f>
        <v>0</v>
      </c>
      <c r="AA111" s="15">
        <f>SUMIFS(Monatsexporte[Saldo],Monatsexporte[Jahr],$B$5,Monatsexporte[Monat],7,Monatsexporte[Konto],B111)</f>
        <v>0</v>
      </c>
      <c r="AB111" s="22">
        <f t="shared" si="50"/>
        <v>0</v>
      </c>
      <c r="AC111" s="15">
        <f>SUMIFS(Monatsexporte[Saldo],Monatsexporte[Jahr],$B$4,Monatsexporte[Monat],8,Monatsexporte[Konto],B111)</f>
        <v>0</v>
      </c>
      <c r="AD111" s="15">
        <f>SUMIFS(Monatsexporte[Saldo],Monatsexporte[Jahr],$B$5,Monatsexporte[Monat],8,Monatsexporte[Konto],B111)</f>
        <v>0</v>
      </c>
      <c r="AE111" s="22">
        <f t="shared" si="51"/>
        <v>0</v>
      </c>
      <c r="AF111" s="15">
        <f>SUMIFS(Monatsexporte[Saldo],Monatsexporte[Jahr],$B$4,Monatsexporte[Monat],9,Monatsexporte[Konto],B111)</f>
        <v>0</v>
      </c>
      <c r="AG111" s="15">
        <f>SUMIFS(Monatsexporte[Saldo],Monatsexporte[Jahr],$B$5,Monatsexporte[Monat],9,Monatsexporte[Konto],B111)</f>
        <v>0</v>
      </c>
      <c r="AH111" s="22">
        <f t="shared" si="52"/>
        <v>0</v>
      </c>
      <c r="AI111" s="15">
        <f>SUMIFS(Monatsexporte[Saldo],Monatsexporte[Jahr],$B$4,Monatsexporte[Monat],10,Monatsexporte[Konto],B111)</f>
        <v>0</v>
      </c>
      <c r="AJ111" s="15">
        <f>SUMIFS(Monatsexporte[Saldo],Monatsexporte[Jahr],$B$5,Monatsexporte[Monat],10,Monatsexporte[Konto],B111)</f>
        <v>0</v>
      </c>
      <c r="AK111" s="22">
        <f t="shared" si="53"/>
        <v>0</v>
      </c>
      <c r="AL111" s="15">
        <f>SUMIFS(Monatsexporte[Saldo],Monatsexporte[Jahr],$B$4,Monatsexporte[Monat],11,Monatsexporte[Konto],B111)</f>
        <v>0</v>
      </c>
      <c r="AM111" s="15">
        <f>SUMIFS(Monatsexporte[Saldo],Monatsexporte[Jahr],$B$5,Monatsexporte[Monat],11,Monatsexporte[Konto],B111)</f>
        <v>0</v>
      </c>
      <c r="AN111" s="22">
        <f t="shared" si="54"/>
        <v>0</v>
      </c>
      <c r="AO111" s="15">
        <f>SUMIFS(Monatsexporte[Saldo],Monatsexporte[Jahr],$B$4,Monatsexporte[Monat],12,Monatsexporte[Konto],B111)</f>
        <v>0</v>
      </c>
      <c r="AP111" s="15">
        <f>SUMIFS(Monatsexporte[Saldo],Monatsexporte[Jahr],$B$5,Monatsexporte[Monat],12,Monatsexporte[Konto],B111)</f>
        <v>0</v>
      </c>
      <c r="AQ111" s="22">
        <f t="shared" si="55"/>
        <v>0</v>
      </c>
    </row>
    <row r="112" spans="1:43" outlineLevel="1" x14ac:dyDescent="0.45">
      <c r="A112" s="10" t="s">
        <v>504</v>
      </c>
      <c r="B112" s="39">
        <v>690242010</v>
      </c>
      <c r="C112" s="15">
        <v>8959</v>
      </c>
      <c r="D112" s="15">
        <f ca="1">SUMIFS(Monatsexporte[Saldo],Monatsexporte[Jahr],$B$4,Monatsexporte[Monat],"&lt;="&amp;$B$8,Monatsexporte[Konto],B112)</f>
        <v>26877</v>
      </c>
      <c r="E112" s="15">
        <f ca="1">SUMIFS(Monatsexporte[Saldo],Monatsexporte[Jahr],$B$5,Monatsexporte[Monat],"&lt;="&amp;$B$8,Monatsexporte[Konto],B112)</f>
        <v>0</v>
      </c>
      <c r="F112" s="15">
        <f t="shared" ca="1" si="42"/>
        <v>26877</v>
      </c>
      <c r="G112" s="22">
        <f t="shared" ca="1" si="43"/>
        <v>0</v>
      </c>
      <c r="H112" s="15">
        <f>SUMIFS(Monatsexporte[Saldo],Monatsexporte[Jahr],$B$4,Monatsexporte[Monat],1,Monatsexporte[Konto],B112)</f>
        <v>0</v>
      </c>
      <c r="I112" s="15">
        <f>SUMIFS(Monatsexporte[Saldo],Monatsexporte[Jahr],$B$5,Monatsexporte[Monat],1,Monatsexporte[Konto],B112)</f>
        <v>0</v>
      </c>
      <c r="J112" s="22">
        <f t="shared" si="44"/>
        <v>0</v>
      </c>
      <c r="K112" s="15">
        <f>SUMIFS(Monatsexporte[Saldo],Monatsexporte[Jahr],$B$4,Monatsexporte[Monat],2,Monatsexporte[Konto],B112)</f>
        <v>0</v>
      </c>
      <c r="L112" s="15">
        <f>SUMIFS(Monatsexporte[Saldo],Monatsexporte[Jahr],$B$5,Monatsexporte[Monat],2,Monatsexporte[Konto],B112)</f>
        <v>0</v>
      </c>
      <c r="M112" s="22">
        <f t="shared" si="45"/>
        <v>0</v>
      </c>
      <c r="N112" s="15">
        <f>SUMIFS(Monatsexporte[Saldo],Monatsexporte[Jahr],$B$4,Monatsexporte[Monat],3,Monatsexporte[Konto],B112)</f>
        <v>8959</v>
      </c>
      <c r="O112" s="15">
        <f>SUMIFS(Monatsexporte[Saldo],Monatsexporte[Jahr],$B$5,Monatsexporte[Monat],3,Monatsexporte[Konto],B112)</f>
        <v>0</v>
      </c>
      <c r="P112" s="22">
        <f t="shared" si="46"/>
        <v>0</v>
      </c>
      <c r="Q112" s="15">
        <f>SUMIFS(Monatsexporte[Saldo],Monatsexporte[Jahr],$B$4,Monatsexporte[Monat],4,Monatsexporte[Konto],B112)</f>
        <v>8959</v>
      </c>
      <c r="R112" s="15">
        <f>SUMIFS(Monatsexporte[Saldo],Monatsexporte[Jahr],$B$5,Monatsexporte[Monat],4,Monatsexporte[Konto],B112)</f>
        <v>0</v>
      </c>
      <c r="S112" s="22">
        <f t="shared" si="47"/>
        <v>0</v>
      </c>
      <c r="T112" s="15">
        <f>SUMIFS(Monatsexporte[Saldo],Monatsexporte[Jahr],$B$4,Monatsexporte[Monat],5,Monatsexporte[Konto],B112)</f>
        <v>8959</v>
      </c>
      <c r="U112" s="15">
        <f>SUMIFS(Monatsexporte[Saldo],Monatsexporte[Jahr],$B$5,Monatsexporte[Monat],5,Monatsexporte[Konto],B112)</f>
        <v>0</v>
      </c>
      <c r="V112" s="22">
        <f t="shared" si="48"/>
        <v>0</v>
      </c>
      <c r="W112" s="15">
        <f>SUMIFS(Monatsexporte[Saldo],Monatsexporte[Jahr],$B$4,Monatsexporte[Monat],6,Monatsexporte[Konto],B112)</f>
        <v>0</v>
      </c>
      <c r="X112" s="15">
        <f>SUMIFS(Monatsexporte[Saldo],Monatsexporte[Jahr],$B$5,Monatsexporte[Monat],6,Monatsexporte[Konto],B112)</f>
        <v>0</v>
      </c>
      <c r="Y112" s="22">
        <f t="shared" si="49"/>
        <v>0</v>
      </c>
      <c r="Z112" s="15">
        <f>SUMIFS(Monatsexporte[Saldo],Monatsexporte[Jahr],$B$4,Monatsexporte[Monat],7,Monatsexporte[Konto],B112)</f>
        <v>0</v>
      </c>
      <c r="AA112" s="15">
        <f>SUMIFS(Monatsexporte[Saldo],Monatsexporte[Jahr],$B$5,Monatsexporte[Monat],7,Monatsexporte[Konto],B112)</f>
        <v>0</v>
      </c>
      <c r="AB112" s="22">
        <f t="shared" si="50"/>
        <v>0</v>
      </c>
      <c r="AC112" s="15">
        <f>SUMIFS(Monatsexporte[Saldo],Monatsexporte[Jahr],$B$4,Monatsexporte[Monat],8,Monatsexporte[Konto],B112)</f>
        <v>0</v>
      </c>
      <c r="AD112" s="15">
        <f>SUMIFS(Monatsexporte[Saldo],Monatsexporte[Jahr],$B$5,Monatsexporte[Monat],8,Monatsexporte[Konto],B112)</f>
        <v>0</v>
      </c>
      <c r="AE112" s="22">
        <f t="shared" si="51"/>
        <v>0</v>
      </c>
      <c r="AF112" s="15">
        <f>SUMIFS(Monatsexporte[Saldo],Monatsexporte[Jahr],$B$4,Monatsexporte[Monat],9,Monatsexporte[Konto],B112)</f>
        <v>0</v>
      </c>
      <c r="AG112" s="15">
        <f>SUMIFS(Monatsexporte[Saldo],Monatsexporte[Jahr],$B$5,Monatsexporte[Monat],9,Monatsexporte[Konto],B112)</f>
        <v>0</v>
      </c>
      <c r="AH112" s="22">
        <f t="shared" si="52"/>
        <v>0</v>
      </c>
      <c r="AI112" s="15">
        <f>SUMIFS(Monatsexporte[Saldo],Monatsexporte[Jahr],$B$4,Monatsexporte[Monat],10,Monatsexporte[Konto],B112)</f>
        <v>0</v>
      </c>
      <c r="AJ112" s="15">
        <f>SUMIFS(Monatsexporte[Saldo],Monatsexporte[Jahr],$B$5,Monatsexporte[Monat],10,Monatsexporte[Konto],B112)</f>
        <v>0</v>
      </c>
      <c r="AK112" s="22">
        <f t="shared" si="53"/>
        <v>0</v>
      </c>
      <c r="AL112" s="15">
        <f>SUMIFS(Monatsexporte[Saldo],Monatsexporte[Jahr],$B$4,Monatsexporte[Monat],11,Monatsexporte[Konto],B112)</f>
        <v>0</v>
      </c>
      <c r="AM112" s="15">
        <f>SUMIFS(Monatsexporte[Saldo],Monatsexporte[Jahr],$B$5,Monatsexporte[Monat],11,Monatsexporte[Konto],B112)</f>
        <v>0</v>
      </c>
      <c r="AN112" s="22">
        <f t="shared" si="54"/>
        <v>0</v>
      </c>
      <c r="AO112" s="15">
        <f>SUMIFS(Monatsexporte[Saldo],Monatsexporte[Jahr],$B$4,Monatsexporte[Monat],12,Monatsexporte[Konto],B112)</f>
        <v>0</v>
      </c>
      <c r="AP112" s="15">
        <f>SUMIFS(Monatsexporte[Saldo],Monatsexporte[Jahr],$B$5,Monatsexporte[Monat],12,Monatsexporte[Konto],B112)</f>
        <v>0</v>
      </c>
      <c r="AQ112" s="22">
        <f t="shared" si="55"/>
        <v>0</v>
      </c>
    </row>
    <row r="113" spans="1:43" outlineLevel="1" x14ac:dyDescent="0.45">
      <c r="A113" s="10" t="s">
        <v>505</v>
      </c>
      <c r="B113" s="39">
        <v>6901254</v>
      </c>
      <c r="C113" s="15">
        <v>270</v>
      </c>
      <c r="D113" s="15">
        <f ca="1">SUMIFS(Monatsexporte[Saldo],Monatsexporte[Jahr],$B$4,Monatsexporte[Monat],"&lt;="&amp;$B$8,Monatsexporte[Konto],B113)</f>
        <v>810.24</v>
      </c>
      <c r="E113" s="15">
        <f ca="1">SUMIFS(Monatsexporte[Saldo],Monatsexporte[Jahr],$B$5,Monatsexporte[Monat],"&lt;="&amp;$B$8,Monatsexporte[Konto],B113)</f>
        <v>0</v>
      </c>
      <c r="F113" s="15">
        <f t="shared" ca="1" si="42"/>
        <v>810.24</v>
      </c>
      <c r="G113" s="22">
        <f t="shared" ca="1" si="43"/>
        <v>0</v>
      </c>
      <c r="H113" s="15">
        <f>SUMIFS(Monatsexporte[Saldo],Monatsexporte[Jahr],$B$4,Monatsexporte[Monat],1,Monatsexporte[Konto],B113)</f>
        <v>0</v>
      </c>
      <c r="I113" s="15">
        <f>SUMIFS(Monatsexporte[Saldo],Monatsexporte[Jahr],$B$5,Monatsexporte[Monat],1,Monatsexporte[Konto],B113)</f>
        <v>0</v>
      </c>
      <c r="J113" s="22">
        <f t="shared" si="44"/>
        <v>0</v>
      </c>
      <c r="K113" s="15">
        <f>SUMIFS(Monatsexporte[Saldo],Monatsexporte[Jahr],$B$4,Monatsexporte[Monat],2,Monatsexporte[Konto],B113)</f>
        <v>0</v>
      </c>
      <c r="L113" s="15">
        <f>SUMIFS(Monatsexporte[Saldo],Monatsexporte[Jahr],$B$5,Monatsexporte[Monat],2,Monatsexporte[Konto],B113)</f>
        <v>0</v>
      </c>
      <c r="M113" s="22">
        <f t="shared" si="45"/>
        <v>0</v>
      </c>
      <c r="N113" s="15">
        <f>SUMIFS(Monatsexporte[Saldo],Monatsexporte[Jahr],$B$4,Monatsexporte[Monat],3,Monatsexporte[Konto],B113)</f>
        <v>270.08</v>
      </c>
      <c r="O113" s="15">
        <f>SUMIFS(Monatsexporte[Saldo],Monatsexporte[Jahr],$B$5,Monatsexporte[Monat],3,Monatsexporte[Konto],B113)</f>
        <v>0</v>
      </c>
      <c r="P113" s="22">
        <f t="shared" si="46"/>
        <v>0</v>
      </c>
      <c r="Q113" s="15">
        <f>SUMIFS(Monatsexporte[Saldo],Monatsexporte[Jahr],$B$4,Monatsexporte[Monat],4,Monatsexporte[Konto],B113)</f>
        <v>270.08</v>
      </c>
      <c r="R113" s="15">
        <f>SUMIFS(Monatsexporte[Saldo],Monatsexporte[Jahr],$B$5,Monatsexporte[Monat],4,Monatsexporte[Konto],B113)</f>
        <v>0</v>
      </c>
      <c r="S113" s="22">
        <f t="shared" si="47"/>
        <v>0</v>
      </c>
      <c r="T113" s="15">
        <f>SUMIFS(Monatsexporte[Saldo],Monatsexporte[Jahr],$B$4,Monatsexporte[Monat],5,Monatsexporte[Konto],B113)</f>
        <v>270.08</v>
      </c>
      <c r="U113" s="15">
        <f>SUMIFS(Monatsexporte[Saldo],Monatsexporte[Jahr],$B$5,Monatsexporte[Monat],5,Monatsexporte[Konto],B113)</f>
        <v>0</v>
      </c>
      <c r="V113" s="22">
        <f t="shared" si="48"/>
        <v>0</v>
      </c>
      <c r="W113" s="15">
        <f>SUMIFS(Monatsexporte[Saldo],Monatsexporte[Jahr],$B$4,Monatsexporte[Monat],6,Monatsexporte[Konto],B113)</f>
        <v>0</v>
      </c>
      <c r="X113" s="15">
        <f>SUMIFS(Monatsexporte[Saldo],Monatsexporte[Jahr],$B$5,Monatsexporte[Monat],6,Monatsexporte[Konto],B113)</f>
        <v>0</v>
      </c>
      <c r="Y113" s="22">
        <f t="shared" si="49"/>
        <v>0</v>
      </c>
      <c r="Z113" s="15">
        <f>SUMIFS(Monatsexporte[Saldo],Monatsexporte[Jahr],$B$4,Monatsexporte[Monat],7,Monatsexporte[Konto],B113)</f>
        <v>0</v>
      </c>
      <c r="AA113" s="15">
        <f>SUMIFS(Monatsexporte[Saldo],Monatsexporte[Jahr],$B$5,Monatsexporte[Monat],7,Monatsexporte[Konto],B113)</f>
        <v>0</v>
      </c>
      <c r="AB113" s="22">
        <f t="shared" si="50"/>
        <v>0</v>
      </c>
      <c r="AC113" s="15">
        <f>SUMIFS(Monatsexporte[Saldo],Monatsexporte[Jahr],$B$4,Monatsexporte[Monat],8,Monatsexporte[Konto],B113)</f>
        <v>0</v>
      </c>
      <c r="AD113" s="15">
        <f>SUMIFS(Monatsexporte[Saldo],Monatsexporte[Jahr],$B$5,Monatsexporte[Monat],8,Monatsexporte[Konto],B113)</f>
        <v>0</v>
      </c>
      <c r="AE113" s="22">
        <f t="shared" si="51"/>
        <v>0</v>
      </c>
      <c r="AF113" s="15">
        <f>SUMIFS(Monatsexporte[Saldo],Monatsexporte[Jahr],$B$4,Monatsexporte[Monat],9,Monatsexporte[Konto],B113)</f>
        <v>0</v>
      </c>
      <c r="AG113" s="15">
        <f>SUMIFS(Monatsexporte[Saldo],Monatsexporte[Jahr],$B$5,Monatsexporte[Monat],9,Monatsexporte[Konto],B113)</f>
        <v>0</v>
      </c>
      <c r="AH113" s="22">
        <f t="shared" si="52"/>
        <v>0</v>
      </c>
      <c r="AI113" s="15">
        <f>SUMIFS(Monatsexporte[Saldo],Monatsexporte[Jahr],$B$4,Monatsexporte[Monat],10,Monatsexporte[Konto],B113)</f>
        <v>0</v>
      </c>
      <c r="AJ113" s="15">
        <f>SUMIFS(Monatsexporte[Saldo],Monatsexporte[Jahr],$B$5,Monatsexporte[Monat],10,Monatsexporte[Konto],B113)</f>
        <v>0</v>
      </c>
      <c r="AK113" s="22">
        <f t="shared" si="53"/>
        <v>0</v>
      </c>
      <c r="AL113" s="15">
        <f>SUMIFS(Monatsexporte[Saldo],Monatsexporte[Jahr],$B$4,Monatsexporte[Monat],11,Monatsexporte[Konto],B113)</f>
        <v>0</v>
      </c>
      <c r="AM113" s="15">
        <f>SUMIFS(Monatsexporte[Saldo],Monatsexporte[Jahr],$B$5,Monatsexporte[Monat],11,Monatsexporte[Konto],B113)</f>
        <v>0</v>
      </c>
      <c r="AN113" s="22">
        <f t="shared" si="54"/>
        <v>0</v>
      </c>
      <c r="AO113" s="15">
        <f>SUMIFS(Monatsexporte[Saldo],Monatsexporte[Jahr],$B$4,Monatsexporte[Monat],12,Monatsexporte[Konto],B113)</f>
        <v>0</v>
      </c>
      <c r="AP113" s="15">
        <f>SUMIFS(Monatsexporte[Saldo],Monatsexporte[Jahr],$B$5,Monatsexporte[Monat],12,Monatsexporte[Konto],B113)</f>
        <v>0</v>
      </c>
      <c r="AQ113" s="22">
        <f t="shared" si="55"/>
        <v>0</v>
      </c>
    </row>
    <row r="114" spans="1:43" x14ac:dyDescent="0.45">
      <c r="A114" s="1" t="s">
        <v>493</v>
      </c>
      <c r="B114" s="39" t="s">
        <v>494</v>
      </c>
      <c r="C114" s="15">
        <f>SUM(C103:C113)</f>
        <v>36665</v>
      </c>
      <c r="D114" s="15">
        <f ca="1">SUM(D103:D113)</f>
        <v>109998.87000000002</v>
      </c>
      <c r="E114" s="15">
        <f ca="1">SUM(E103:E113)</f>
        <v>0</v>
      </c>
      <c r="F114" s="15">
        <f t="shared" ca="1" si="42"/>
        <v>109998.87000000002</v>
      </c>
      <c r="G114" s="22">
        <f t="shared" ca="1" si="43"/>
        <v>0</v>
      </c>
      <c r="H114" s="15">
        <f>SUM(H103:H113)</f>
        <v>0</v>
      </c>
      <c r="I114" s="15">
        <f>SUM(I103:I113)</f>
        <v>0</v>
      </c>
      <c r="J114" s="22">
        <f t="shared" si="44"/>
        <v>0</v>
      </c>
      <c r="K114" s="15">
        <f>SUM(K103:K113)</f>
        <v>0</v>
      </c>
      <c r="L114" s="15">
        <f>SUM(L103:L113)</f>
        <v>0</v>
      </c>
      <c r="M114" s="22">
        <f t="shared" si="45"/>
        <v>0</v>
      </c>
      <c r="N114" s="15">
        <f>SUM(N103:N113)</f>
        <v>36666.289999999994</v>
      </c>
      <c r="O114" s="15">
        <f>SUM(O103:O113)</f>
        <v>0</v>
      </c>
      <c r="P114" s="22">
        <f t="shared" si="46"/>
        <v>0</v>
      </c>
      <c r="Q114" s="15">
        <f>SUM(Q103:Q113)</f>
        <v>36666.289999999994</v>
      </c>
      <c r="R114" s="15">
        <f>SUM(R103:R113)</f>
        <v>0</v>
      </c>
      <c r="S114" s="22">
        <f t="shared" si="47"/>
        <v>0</v>
      </c>
      <c r="T114" s="15">
        <f>SUM(T103:T113)</f>
        <v>36666.289999999994</v>
      </c>
      <c r="U114" s="15">
        <f>SUM(U103:U113)</f>
        <v>0</v>
      </c>
      <c r="V114" s="22">
        <f t="shared" si="48"/>
        <v>0</v>
      </c>
      <c r="W114" s="15">
        <f>SUM(W103:W113)</f>
        <v>0</v>
      </c>
      <c r="X114" s="15">
        <f>SUM(X103:X113)</f>
        <v>0</v>
      </c>
      <c r="Y114" s="22">
        <f t="shared" si="49"/>
        <v>0</v>
      </c>
      <c r="Z114" s="15">
        <f>SUM(Z103:Z113)</f>
        <v>0</v>
      </c>
      <c r="AA114" s="15">
        <f>SUM(AA103:AA113)</f>
        <v>0</v>
      </c>
      <c r="AB114" s="22">
        <f t="shared" si="50"/>
        <v>0</v>
      </c>
      <c r="AC114" s="15">
        <f>SUM(AC103:AC113)</f>
        <v>0</v>
      </c>
      <c r="AD114" s="15">
        <f>SUM(AD103:AD113)</f>
        <v>0</v>
      </c>
      <c r="AE114" s="22">
        <f t="shared" si="51"/>
        <v>0</v>
      </c>
      <c r="AF114" s="15">
        <f>SUM(AF103:AF113)</f>
        <v>0</v>
      </c>
      <c r="AG114" s="15">
        <f>SUM(AG103:AG113)</f>
        <v>0</v>
      </c>
      <c r="AH114" s="22">
        <f t="shared" si="52"/>
        <v>0</v>
      </c>
      <c r="AI114" s="15">
        <f>SUM(AI103:AI113)</f>
        <v>0</v>
      </c>
      <c r="AJ114" s="15">
        <f>SUM(AJ103:AJ113)</f>
        <v>0</v>
      </c>
      <c r="AK114" s="22">
        <f t="shared" si="53"/>
        <v>0</v>
      </c>
      <c r="AL114" s="15">
        <f>SUM(AL103:AL113)</f>
        <v>0</v>
      </c>
      <c r="AM114" s="15">
        <f>SUM(AM103:AM113)</f>
        <v>0</v>
      </c>
      <c r="AN114" s="22">
        <f t="shared" si="54"/>
        <v>0</v>
      </c>
      <c r="AO114" s="15">
        <f>SUM(AO103:AO113)</f>
        <v>0</v>
      </c>
      <c r="AP114" s="15">
        <f>SUM(AP103:AP113)</f>
        <v>0</v>
      </c>
      <c r="AQ114" s="22">
        <f t="shared" si="55"/>
        <v>0</v>
      </c>
    </row>
    <row r="115" spans="1:43" outlineLevel="1" x14ac:dyDescent="0.45">
      <c r="A115" s="10" t="s">
        <v>508</v>
      </c>
      <c r="B115" s="39">
        <v>7101010</v>
      </c>
      <c r="C115" s="15">
        <v>218719</v>
      </c>
      <c r="D115" s="15">
        <f ca="1">SUMIFS(Monatsexporte[Saldo],Monatsexporte[Jahr],$B$4,Monatsexporte[Monat],"&lt;="&amp;$B$8,Monatsexporte[Konto],B115)</f>
        <v>656155.98</v>
      </c>
      <c r="E115" s="15">
        <f ca="1">SUMIFS(Monatsexporte[Saldo],Monatsexporte[Jahr],$B$5,Monatsexporte[Monat],"&lt;="&amp;$B$8,Monatsexporte[Konto],B115)</f>
        <v>0</v>
      </c>
      <c r="F115" s="15">
        <f t="shared" ca="1" si="42"/>
        <v>656155.98</v>
      </c>
      <c r="G115" s="22">
        <f t="shared" ca="1" si="43"/>
        <v>0</v>
      </c>
      <c r="H115" s="15">
        <f>SUMIFS(Monatsexporte[Saldo],Monatsexporte[Jahr],$B$4,Monatsexporte[Monat],1,Monatsexporte[Konto],B115)</f>
        <v>0</v>
      </c>
      <c r="I115" s="15">
        <f>SUMIFS(Monatsexporte[Saldo],Monatsexporte[Jahr],$B$5,Monatsexporte[Monat],1,Monatsexporte[Konto],B115)</f>
        <v>0</v>
      </c>
      <c r="J115" s="22">
        <f t="shared" si="44"/>
        <v>0</v>
      </c>
      <c r="K115" s="15">
        <f>SUMIFS(Monatsexporte[Saldo],Monatsexporte[Jahr],$B$4,Monatsexporte[Monat],2,Monatsexporte[Konto],B115)</f>
        <v>0</v>
      </c>
      <c r="L115" s="15">
        <f>SUMIFS(Monatsexporte[Saldo],Monatsexporte[Jahr],$B$5,Monatsexporte[Monat],2,Monatsexporte[Konto],B115)</f>
        <v>0</v>
      </c>
      <c r="M115" s="22">
        <f t="shared" si="45"/>
        <v>0</v>
      </c>
      <c r="N115" s="15">
        <f>SUMIFS(Monatsexporte[Saldo],Monatsexporte[Jahr],$B$4,Monatsexporte[Monat],3,Monatsexporte[Konto],B115)</f>
        <v>218718.66</v>
      </c>
      <c r="O115" s="15">
        <f>SUMIFS(Monatsexporte[Saldo],Monatsexporte[Jahr],$B$5,Monatsexporte[Monat],3,Monatsexporte[Konto],B115)</f>
        <v>0</v>
      </c>
      <c r="P115" s="22">
        <f t="shared" si="46"/>
        <v>0</v>
      </c>
      <c r="Q115" s="15">
        <f>SUMIFS(Monatsexporte[Saldo],Monatsexporte[Jahr],$B$4,Monatsexporte[Monat],4,Monatsexporte[Konto],B115)</f>
        <v>218718.66</v>
      </c>
      <c r="R115" s="15">
        <f>SUMIFS(Monatsexporte[Saldo],Monatsexporte[Jahr],$B$5,Monatsexporte[Monat],4,Monatsexporte[Konto],B115)</f>
        <v>0</v>
      </c>
      <c r="S115" s="22">
        <f t="shared" si="47"/>
        <v>0</v>
      </c>
      <c r="T115" s="15">
        <f>SUMIFS(Monatsexporte[Saldo],Monatsexporte[Jahr],$B$4,Monatsexporte[Monat],5,Monatsexporte[Konto],B115)</f>
        <v>218718.66</v>
      </c>
      <c r="U115" s="15">
        <f>SUMIFS(Monatsexporte[Saldo],Monatsexporte[Jahr],$B$5,Monatsexporte[Monat],5,Monatsexporte[Konto],B115)</f>
        <v>0</v>
      </c>
      <c r="V115" s="22">
        <f t="shared" si="48"/>
        <v>0</v>
      </c>
      <c r="W115" s="15">
        <f>SUMIFS(Monatsexporte[Saldo],Monatsexporte[Jahr],$B$4,Monatsexporte[Monat],6,Monatsexporte[Konto],B115)</f>
        <v>0</v>
      </c>
      <c r="X115" s="15">
        <f>SUMIFS(Monatsexporte[Saldo],Monatsexporte[Jahr],$B$5,Monatsexporte[Monat],6,Monatsexporte[Konto],B115)</f>
        <v>0</v>
      </c>
      <c r="Y115" s="22">
        <f t="shared" si="49"/>
        <v>0</v>
      </c>
      <c r="Z115" s="15">
        <f>SUMIFS(Monatsexporte[Saldo],Monatsexporte[Jahr],$B$4,Monatsexporte[Monat],7,Monatsexporte[Konto],B115)</f>
        <v>0</v>
      </c>
      <c r="AA115" s="15">
        <f>SUMIFS(Monatsexporte[Saldo],Monatsexporte[Jahr],$B$5,Monatsexporte[Monat],7,Monatsexporte[Konto],B115)</f>
        <v>0</v>
      </c>
      <c r="AB115" s="22">
        <f t="shared" si="50"/>
        <v>0</v>
      </c>
      <c r="AC115" s="15">
        <f>SUMIFS(Monatsexporte[Saldo],Monatsexporte[Jahr],$B$4,Monatsexporte[Monat],8,Monatsexporte[Konto],B115)</f>
        <v>0</v>
      </c>
      <c r="AD115" s="15">
        <f>SUMIFS(Monatsexporte[Saldo],Monatsexporte[Jahr],$B$5,Monatsexporte[Monat],8,Monatsexporte[Konto],B115)</f>
        <v>0</v>
      </c>
      <c r="AE115" s="22">
        <f t="shared" si="51"/>
        <v>0</v>
      </c>
      <c r="AF115" s="15">
        <f>SUMIFS(Monatsexporte[Saldo],Monatsexporte[Jahr],$B$4,Monatsexporte[Monat],9,Monatsexporte[Konto],B115)</f>
        <v>0</v>
      </c>
      <c r="AG115" s="15">
        <f>SUMIFS(Monatsexporte[Saldo],Monatsexporte[Jahr],$B$5,Monatsexporte[Monat],9,Monatsexporte[Konto],B115)</f>
        <v>0</v>
      </c>
      <c r="AH115" s="22">
        <f t="shared" si="52"/>
        <v>0</v>
      </c>
      <c r="AI115" s="15">
        <f>SUMIFS(Monatsexporte[Saldo],Monatsexporte[Jahr],$B$4,Monatsexporte[Monat],10,Monatsexporte[Konto],B115)</f>
        <v>0</v>
      </c>
      <c r="AJ115" s="15">
        <f>SUMIFS(Monatsexporte[Saldo],Monatsexporte[Jahr],$B$5,Monatsexporte[Monat],10,Monatsexporte[Konto],B115)</f>
        <v>0</v>
      </c>
      <c r="AK115" s="22">
        <f t="shared" si="53"/>
        <v>0</v>
      </c>
      <c r="AL115" s="15">
        <f>SUMIFS(Monatsexporte[Saldo],Monatsexporte[Jahr],$B$4,Monatsexporte[Monat],11,Monatsexporte[Konto],B115)</f>
        <v>0</v>
      </c>
      <c r="AM115" s="15">
        <f>SUMIFS(Monatsexporte[Saldo],Monatsexporte[Jahr],$B$5,Monatsexporte[Monat],11,Monatsexporte[Konto],B115)</f>
        <v>0</v>
      </c>
      <c r="AN115" s="22">
        <f t="shared" si="54"/>
        <v>0</v>
      </c>
      <c r="AO115" s="15">
        <f>SUMIFS(Monatsexporte[Saldo],Monatsexporte[Jahr],$B$4,Monatsexporte[Monat],12,Monatsexporte[Konto],B115)</f>
        <v>0</v>
      </c>
      <c r="AP115" s="15">
        <f>SUMIFS(Monatsexporte[Saldo],Monatsexporte[Jahr],$B$5,Monatsexporte[Monat],12,Monatsexporte[Konto],B115)</f>
        <v>0</v>
      </c>
      <c r="AQ115" s="22">
        <f t="shared" si="55"/>
        <v>0</v>
      </c>
    </row>
    <row r="116" spans="1:43" outlineLevel="1" x14ac:dyDescent="0.45">
      <c r="A116" s="10" t="s">
        <v>509</v>
      </c>
      <c r="B116" s="39">
        <v>7101510</v>
      </c>
      <c r="C116" s="15">
        <v>57498</v>
      </c>
      <c r="D116" s="15">
        <f ca="1">SUMIFS(Monatsexporte[Saldo],Monatsexporte[Jahr],$B$4,Monatsexporte[Monat],"&lt;="&amp;$B$8,Monatsexporte[Konto],B116)</f>
        <v>172493.91</v>
      </c>
      <c r="E116" s="15">
        <f ca="1">SUMIFS(Monatsexporte[Saldo],Monatsexporte[Jahr],$B$5,Monatsexporte[Monat],"&lt;="&amp;$B$8,Monatsexporte[Konto],B116)</f>
        <v>0</v>
      </c>
      <c r="F116" s="15">
        <f t="shared" ca="1" si="42"/>
        <v>172493.91</v>
      </c>
      <c r="G116" s="22">
        <f t="shared" ca="1" si="43"/>
        <v>0</v>
      </c>
      <c r="H116" s="15">
        <f>SUMIFS(Monatsexporte[Saldo],Monatsexporte[Jahr],$B$4,Monatsexporte[Monat],1,Monatsexporte[Konto],B116)</f>
        <v>0</v>
      </c>
      <c r="I116" s="15">
        <f>SUMIFS(Monatsexporte[Saldo],Monatsexporte[Jahr],$B$5,Monatsexporte[Monat],1,Monatsexporte[Konto],B116)</f>
        <v>0</v>
      </c>
      <c r="J116" s="22">
        <f t="shared" si="44"/>
        <v>0</v>
      </c>
      <c r="K116" s="15">
        <f>SUMIFS(Monatsexporte[Saldo],Monatsexporte[Jahr],$B$4,Monatsexporte[Monat],2,Monatsexporte[Konto],B116)</f>
        <v>0</v>
      </c>
      <c r="L116" s="15">
        <f>SUMIFS(Monatsexporte[Saldo],Monatsexporte[Jahr],$B$5,Monatsexporte[Monat],2,Monatsexporte[Konto],B116)</f>
        <v>0</v>
      </c>
      <c r="M116" s="22">
        <f t="shared" si="45"/>
        <v>0</v>
      </c>
      <c r="N116" s="15">
        <f>SUMIFS(Monatsexporte[Saldo],Monatsexporte[Jahr],$B$4,Monatsexporte[Monat],3,Monatsexporte[Konto],B116)</f>
        <v>57497.97</v>
      </c>
      <c r="O116" s="15">
        <f>SUMIFS(Monatsexporte[Saldo],Monatsexporte[Jahr],$B$5,Monatsexporte[Monat],3,Monatsexporte[Konto],B116)</f>
        <v>0</v>
      </c>
      <c r="P116" s="22">
        <f t="shared" si="46"/>
        <v>0</v>
      </c>
      <c r="Q116" s="15">
        <f>SUMIFS(Monatsexporte[Saldo],Monatsexporte[Jahr],$B$4,Monatsexporte[Monat],4,Monatsexporte[Konto],B116)</f>
        <v>57497.97</v>
      </c>
      <c r="R116" s="15">
        <f>SUMIFS(Monatsexporte[Saldo],Monatsexporte[Jahr],$B$5,Monatsexporte[Monat],4,Monatsexporte[Konto],B116)</f>
        <v>0</v>
      </c>
      <c r="S116" s="22">
        <f t="shared" si="47"/>
        <v>0</v>
      </c>
      <c r="T116" s="15">
        <f>SUMIFS(Monatsexporte[Saldo],Monatsexporte[Jahr],$B$4,Monatsexporte[Monat],5,Monatsexporte[Konto],B116)</f>
        <v>57497.97</v>
      </c>
      <c r="U116" s="15">
        <f>SUMIFS(Monatsexporte[Saldo],Monatsexporte[Jahr],$B$5,Monatsexporte[Monat],5,Monatsexporte[Konto],B116)</f>
        <v>0</v>
      </c>
      <c r="V116" s="22">
        <f t="shared" si="48"/>
        <v>0</v>
      </c>
      <c r="W116" s="15">
        <f>SUMIFS(Monatsexporte[Saldo],Monatsexporte[Jahr],$B$4,Monatsexporte[Monat],6,Monatsexporte[Konto],B116)</f>
        <v>0</v>
      </c>
      <c r="X116" s="15">
        <f>SUMIFS(Monatsexporte[Saldo],Monatsexporte[Jahr],$B$5,Monatsexporte[Monat],6,Monatsexporte[Konto],B116)</f>
        <v>0</v>
      </c>
      <c r="Y116" s="22">
        <f t="shared" si="49"/>
        <v>0</v>
      </c>
      <c r="Z116" s="15">
        <f>SUMIFS(Monatsexporte[Saldo],Monatsexporte[Jahr],$B$4,Monatsexporte[Monat],7,Monatsexporte[Konto],B116)</f>
        <v>0</v>
      </c>
      <c r="AA116" s="15">
        <f>SUMIFS(Monatsexporte[Saldo],Monatsexporte[Jahr],$B$5,Monatsexporte[Monat],7,Monatsexporte[Konto],B116)</f>
        <v>0</v>
      </c>
      <c r="AB116" s="22">
        <f t="shared" si="50"/>
        <v>0</v>
      </c>
      <c r="AC116" s="15">
        <f>SUMIFS(Monatsexporte[Saldo],Monatsexporte[Jahr],$B$4,Monatsexporte[Monat],8,Monatsexporte[Konto],B116)</f>
        <v>0</v>
      </c>
      <c r="AD116" s="15">
        <f>SUMIFS(Monatsexporte[Saldo],Monatsexporte[Jahr],$B$5,Monatsexporte[Monat],8,Monatsexporte[Konto],B116)</f>
        <v>0</v>
      </c>
      <c r="AE116" s="22">
        <f t="shared" si="51"/>
        <v>0</v>
      </c>
      <c r="AF116" s="15">
        <f>SUMIFS(Monatsexporte[Saldo],Monatsexporte[Jahr],$B$4,Monatsexporte[Monat],9,Monatsexporte[Konto],B116)</f>
        <v>0</v>
      </c>
      <c r="AG116" s="15">
        <f>SUMIFS(Monatsexporte[Saldo],Monatsexporte[Jahr],$B$5,Monatsexporte[Monat],9,Monatsexporte[Konto],B116)</f>
        <v>0</v>
      </c>
      <c r="AH116" s="22">
        <f t="shared" si="52"/>
        <v>0</v>
      </c>
      <c r="AI116" s="15">
        <f>SUMIFS(Monatsexporte[Saldo],Monatsexporte[Jahr],$B$4,Monatsexporte[Monat],10,Monatsexporte[Konto],B116)</f>
        <v>0</v>
      </c>
      <c r="AJ116" s="15">
        <f>SUMIFS(Monatsexporte[Saldo],Monatsexporte[Jahr],$B$5,Monatsexporte[Monat],10,Monatsexporte[Konto],B116)</f>
        <v>0</v>
      </c>
      <c r="AK116" s="22">
        <f t="shared" si="53"/>
        <v>0</v>
      </c>
      <c r="AL116" s="15">
        <f>SUMIFS(Monatsexporte[Saldo],Monatsexporte[Jahr],$B$4,Monatsexporte[Monat],11,Monatsexporte[Konto],B116)</f>
        <v>0</v>
      </c>
      <c r="AM116" s="15">
        <f>SUMIFS(Monatsexporte[Saldo],Monatsexporte[Jahr],$B$5,Monatsexporte[Monat],11,Monatsexporte[Konto],B116)</f>
        <v>0</v>
      </c>
      <c r="AN116" s="22">
        <f t="shared" si="54"/>
        <v>0</v>
      </c>
      <c r="AO116" s="15">
        <f>SUMIFS(Monatsexporte[Saldo],Monatsexporte[Jahr],$B$4,Monatsexporte[Monat],12,Monatsexporte[Konto],B116)</f>
        <v>0</v>
      </c>
      <c r="AP116" s="15">
        <f>SUMIFS(Monatsexporte[Saldo],Monatsexporte[Jahr],$B$5,Monatsexporte[Monat],12,Monatsexporte[Konto],B116)</f>
        <v>0</v>
      </c>
      <c r="AQ116" s="22">
        <f t="shared" si="55"/>
        <v>0</v>
      </c>
    </row>
    <row r="117" spans="1:43" outlineLevel="1" x14ac:dyDescent="0.45">
      <c r="A117" s="10" t="s">
        <v>510</v>
      </c>
      <c r="B117" s="39">
        <v>710151715</v>
      </c>
      <c r="C117" s="15">
        <v>870</v>
      </c>
      <c r="D117" s="15">
        <f ca="1">SUMIFS(Monatsexporte[Saldo],Monatsexporte[Jahr],$B$4,Monatsexporte[Monat],"&lt;="&amp;$B$8,Monatsexporte[Konto],B117)</f>
        <v>2610</v>
      </c>
      <c r="E117" s="15">
        <f ca="1">SUMIFS(Monatsexporte[Saldo],Monatsexporte[Jahr],$B$5,Monatsexporte[Monat],"&lt;="&amp;$B$8,Monatsexporte[Konto],B117)</f>
        <v>0</v>
      </c>
      <c r="F117" s="15">
        <f t="shared" ca="1" si="42"/>
        <v>2610</v>
      </c>
      <c r="G117" s="22">
        <f t="shared" ca="1" si="43"/>
        <v>0</v>
      </c>
      <c r="H117" s="15">
        <f>SUMIFS(Monatsexporte[Saldo],Monatsexporte[Jahr],$B$4,Monatsexporte[Monat],1,Monatsexporte[Konto],B117)</f>
        <v>0</v>
      </c>
      <c r="I117" s="15">
        <f>SUMIFS(Monatsexporte[Saldo],Monatsexporte[Jahr],$B$5,Monatsexporte[Monat],1,Monatsexporte[Konto],B117)</f>
        <v>0</v>
      </c>
      <c r="J117" s="22">
        <f t="shared" si="44"/>
        <v>0</v>
      </c>
      <c r="K117" s="15">
        <f>SUMIFS(Monatsexporte[Saldo],Monatsexporte[Jahr],$B$4,Monatsexporte[Monat],2,Monatsexporte[Konto],B117)</f>
        <v>0</v>
      </c>
      <c r="L117" s="15">
        <f>SUMIFS(Monatsexporte[Saldo],Monatsexporte[Jahr],$B$5,Monatsexporte[Monat],2,Monatsexporte[Konto],B117)</f>
        <v>0</v>
      </c>
      <c r="M117" s="22">
        <f t="shared" si="45"/>
        <v>0</v>
      </c>
      <c r="N117" s="15">
        <f>SUMIFS(Monatsexporte[Saldo],Monatsexporte[Jahr],$B$4,Monatsexporte[Monat],3,Monatsexporte[Konto],B117)</f>
        <v>870</v>
      </c>
      <c r="O117" s="15">
        <f>SUMIFS(Monatsexporte[Saldo],Monatsexporte[Jahr],$B$5,Monatsexporte[Monat],3,Monatsexporte[Konto],B117)</f>
        <v>0</v>
      </c>
      <c r="P117" s="22">
        <f t="shared" si="46"/>
        <v>0</v>
      </c>
      <c r="Q117" s="15">
        <f>SUMIFS(Monatsexporte[Saldo],Monatsexporte[Jahr],$B$4,Monatsexporte[Monat],4,Monatsexporte[Konto],B117)</f>
        <v>870</v>
      </c>
      <c r="R117" s="15">
        <f>SUMIFS(Monatsexporte[Saldo],Monatsexporte[Jahr],$B$5,Monatsexporte[Monat],4,Monatsexporte[Konto],B117)</f>
        <v>0</v>
      </c>
      <c r="S117" s="22">
        <f t="shared" si="47"/>
        <v>0</v>
      </c>
      <c r="T117" s="15">
        <f>SUMIFS(Monatsexporte[Saldo],Monatsexporte[Jahr],$B$4,Monatsexporte[Monat],5,Monatsexporte[Konto],B117)</f>
        <v>870</v>
      </c>
      <c r="U117" s="15">
        <f>SUMIFS(Monatsexporte[Saldo],Monatsexporte[Jahr],$B$5,Monatsexporte[Monat],5,Monatsexporte[Konto],B117)</f>
        <v>0</v>
      </c>
      <c r="V117" s="22">
        <f t="shared" si="48"/>
        <v>0</v>
      </c>
      <c r="W117" s="15">
        <f>SUMIFS(Monatsexporte[Saldo],Monatsexporte[Jahr],$B$4,Monatsexporte[Monat],6,Monatsexporte[Konto],B117)</f>
        <v>0</v>
      </c>
      <c r="X117" s="15">
        <f>SUMIFS(Monatsexporte[Saldo],Monatsexporte[Jahr],$B$5,Monatsexporte[Monat],6,Monatsexporte[Konto],B117)</f>
        <v>0</v>
      </c>
      <c r="Y117" s="22">
        <f t="shared" si="49"/>
        <v>0</v>
      </c>
      <c r="Z117" s="15">
        <f>SUMIFS(Monatsexporte[Saldo],Monatsexporte[Jahr],$B$4,Monatsexporte[Monat],7,Monatsexporte[Konto],B117)</f>
        <v>0</v>
      </c>
      <c r="AA117" s="15">
        <f>SUMIFS(Monatsexporte[Saldo],Monatsexporte[Jahr],$B$5,Monatsexporte[Monat],7,Monatsexporte[Konto],B117)</f>
        <v>0</v>
      </c>
      <c r="AB117" s="22">
        <f t="shared" si="50"/>
        <v>0</v>
      </c>
      <c r="AC117" s="15">
        <f>SUMIFS(Monatsexporte[Saldo],Monatsexporte[Jahr],$B$4,Monatsexporte[Monat],8,Monatsexporte[Konto],B117)</f>
        <v>0</v>
      </c>
      <c r="AD117" s="15">
        <f>SUMIFS(Monatsexporte[Saldo],Monatsexporte[Jahr],$B$5,Monatsexporte[Monat],8,Monatsexporte[Konto],B117)</f>
        <v>0</v>
      </c>
      <c r="AE117" s="22">
        <f t="shared" si="51"/>
        <v>0</v>
      </c>
      <c r="AF117" s="15">
        <f>SUMIFS(Monatsexporte[Saldo],Monatsexporte[Jahr],$B$4,Monatsexporte[Monat],9,Monatsexporte[Konto],B117)</f>
        <v>0</v>
      </c>
      <c r="AG117" s="15">
        <f>SUMIFS(Monatsexporte[Saldo],Monatsexporte[Jahr],$B$5,Monatsexporte[Monat],9,Monatsexporte[Konto],B117)</f>
        <v>0</v>
      </c>
      <c r="AH117" s="22">
        <f t="shared" si="52"/>
        <v>0</v>
      </c>
      <c r="AI117" s="15">
        <f>SUMIFS(Monatsexporte[Saldo],Monatsexporte[Jahr],$B$4,Monatsexporte[Monat],10,Monatsexporte[Konto],B117)</f>
        <v>0</v>
      </c>
      <c r="AJ117" s="15">
        <f>SUMIFS(Monatsexporte[Saldo],Monatsexporte[Jahr],$B$5,Monatsexporte[Monat],10,Monatsexporte[Konto],B117)</f>
        <v>0</v>
      </c>
      <c r="AK117" s="22">
        <f t="shared" si="53"/>
        <v>0</v>
      </c>
      <c r="AL117" s="15">
        <f>SUMIFS(Monatsexporte[Saldo],Monatsexporte[Jahr],$B$4,Monatsexporte[Monat],11,Monatsexporte[Konto],B117)</f>
        <v>0</v>
      </c>
      <c r="AM117" s="15">
        <f>SUMIFS(Monatsexporte[Saldo],Monatsexporte[Jahr],$B$5,Monatsexporte[Monat],11,Monatsexporte[Konto],B117)</f>
        <v>0</v>
      </c>
      <c r="AN117" s="22">
        <f t="shared" si="54"/>
        <v>0</v>
      </c>
      <c r="AO117" s="15">
        <f>SUMIFS(Monatsexporte[Saldo],Monatsexporte[Jahr],$B$4,Monatsexporte[Monat],12,Monatsexporte[Konto],B117)</f>
        <v>0</v>
      </c>
      <c r="AP117" s="15">
        <f>SUMIFS(Monatsexporte[Saldo],Monatsexporte[Jahr],$B$5,Monatsexporte[Monat],12,Monatsexporte[Konto],B117)</f>
        <v>0</v>
      </c>
      <c r="AQ117" s="22">
        <f t="shared" si="55"/>
        <v>0</v>
      </c>
    </row>
    <row r="118" spans="1:43" outlineLevel="1" x14ac:dyDescent="0.45">
      <c r="A118" s="10" t="s">
        <v>511</v>
      </c>
      <c r="B118" s="39">
        <v>710151720</v>
      </c>
      <c r="C118" s="15">
        <v>235</v>
      </c>
      <c r="D118" s="15">
        <f ca="1">SUMIFS(Monatsexporte[Saldo],Monatsexporte[Jahr],$B$4,Monatsexporte[Monat],"&lt;="&amp;$B$8,Monatsexporte[Konto],B118)</f>
        <v>704.46</v>
      </c>
      <c r="E118" s="15">
        <f ca="1">SUMIFS(Monatsexporte[Saldo],Monatsexporte[Jahr],$B$5,Monatsexporte[Monat],"&lt;="&amp;$B$8,Monatsexporte[Konto],B118)</f>
        <v>0</v>
      </c>
      <c r="F118" s="15">
        <f t="shared" ca="1" si="42"/>
        <v>704.46</v>
      </c>
      <c r="G118" s="22">
        <f t="shared" ca="1" si="43"/>
        <v>0</v>
      </c>
      <c r="H118" s="15">
        <f>SUMIFS(Monatsexporte[Saldo],Monatsexporte[Jahr],$B$4,Monatsexporte[Monat],1,Monatsexporte[Konto],B118)</f>
        <v>0</v>
      </c>
      <c r="I118" s="15">
        <f>SUMIFS(Monatsexporte[Saldo],Monatsexporte[Jahr],$B$5,Monatsexporte[Monat],1,Monatsexporte[Konto],B118)</f>
        <v>0</v>
      </c>
      <c r="J118" s="22">
        <f t="shared" si="44"/>
        <v>0</v>
      </c>
      <c r="K118" s="15">
        <f>SUMIFS(Monatsexporte[Saldo],Monatsexporte[Jahr],$B$4,Monatsexporte[Monat],2,Monatsexporte[Konto],B118)</f>
        <v>0</v>
      </c>
      <c r="L118" s="15">
        <f>SUMIFS(Monatsexporte[Saldo],Monatsexporte[Jahr],$B$5,Monatsexporte[Monat],2,Monatsexporte[Konto],B118)</f>
        <v>0</v>
      </c>
      <c r="M118" s="22">
        <f t="shared" si="45"/>
        <v>0</v>
      </c>
      <c r="N118" s="15">
        <f>SUMIFS(Monatsexporte[Saldo],Monatsexporte[Jahr],$B$4,Monatsexporte[Monat],3,Monatsexporte[Konto],B118)</f>
        <v>234.82</v>
      </c>
      <c r="O118" s="15">
        <f>SUMIFS(Monatsexporte[Saldo],Monatsexporte[Jahr],$B$5,Monatsexporte[Monat],3,Monatsexporte[Konto],B118)</f>
        <v>0</v>
      </c>
      <c r="P118" s="22">
        <f t="shared" si="46"/>
        <v>0</v>
      </c>
      <c r="Q118" s="15">
        <f>SUMIFS(Monatsexporte[Saldo],Monatsexporte[Jahr],$B$4,Monatsexporte[Monat],4,Monatsexporte[Konto],B118)</f>
        <v>234.82</v>
      </c>
      <c r="R118" s="15">
        <f>SUMIFS(Monatsexporte[Saldo],Monatsexporte[Jahr],$B$5,Monatsexporte[Monat],4,Monatsexporte[Konto],B118)</f>
        <v>0</v>
      </c>
      <c r="S118" s="22">
        <f t="shared" si="47"/>
        <v>0</v>
      </c>
      <c r="T118" s="15">
        <f>SUMIFS(Monatsexporte[Saldo],Monatsexporte[Jahr],$B$4,Monatsexporte[Monat],5,Monatsexporte[Konto],B118)</f>
        <v>234.82</v>
      </c>
      <c r="U118" s="15">
        <f>SUMIFS(Monatsexporte[Saldo],Monatsexporte[Jahr],$B$5,Monatsexporte[Monat],5,Monatsexporte[Konto],B118)</f>
        <v>0</v>
      </c>
      <c r="V118" s="22">
        <f t="shared" si="48"/>
        <v>0</v>
      </c>
      <c r="W118" s="15">
        <f>SUMIFS(Monatsexporte[Saldo],Monatsexporte[Jahr],$B$4,Monatsexporte[Monat],6,Monatsexporte[Konto],B118)</f>
        <v>0</v>
      </c>
      <c r="X118" s="15">
        <f>SUMIFS(Monatsexporte[Saldo],Monatsexporte[Jahr],$B$5,Monatsexporte[Monat],6,Monatsexporte[Konto],B118)</f>
        <v>0</v>
      </c>
      <c r="Y118" s="22">
        <f t="shared" si="49"/>
        <v>0</v>
      </c>
      <c r="Z118" s="15">
        <f>SUMIFS(Monatsexporte[Saldo],Monatsexporte[Jahr],$B$4,Monatsexporte[Monat],7,Monatsexporte[Konto],B118)</f>
        <v>0</v>
      </c>
      <c r="AA118" s="15">
        <f>SUMIFS(Monatsexporte[Saldo],Monatsexporte[Jahr],$B$5,Monatsexporte[Monat],7,Monatsexporte[Konto],B118)</f>
        <v>0</v>
      </c>
      <c r="AB118" s="22">
        <f t="shared" si="50"/>
        <v>0</v>
      </c>
      <c r="AC118" s="15">
        <f>SUMIFS(Monatsexporte[Saldo],Monatsexporte[Jahr],$B$4,Monatsexporte[Monat],8,Monatsexporte[Konto],B118)</f>
        <v>0</v>
      </c>
      <c r="AD118" s="15">
        <f>SUMIFS(Monatsexporte[Saldo],Monatsexporte[Jahr],$B$5,Monatsexporte[Monat],8,Monatsexporte[Konto],B118)</f>
        <v>0</v>
      </c>
      <c r="AE118" s="22">
        <f t="shared" si="51"/>
        <v>0</v>
      </c>
      <c r="AF118" s="15">
        <f>SUMIFS(Monatsexporte[Saldo],Monatsexporte[Jahr],$B$4,Monatsexporte[Monat],9,Monatsexporte[Konto],B118)</f>
        <v>0</v>
      </c>
      <c r="AG118" s="15">
        <f>SUMIFS(Monatsexporte[Saldo],Monatsexporte[Jahr],$B$5,Monatsexporte[Monat],9,Monatsexporte[Konto],B118)</f>
        <v>0</v>
      </c>
      <c r="AH118" s="22">
        <f t="shared" si="52"/>
        <v>0</v>
      </c>
      <c r="AI118" s="15">
        <f>SUMIFS(Monatsexporte[Saldo],Monatsexporte[Jahr],$B$4,Monatsexporte[Monat],10,Monatsexporte[Konto],B118)</f>
        <v>0</v>
      </c>
      <c r="AJ118" s="15">
        <f>SUMIFS(Monatsexporte[Saldo],Monatsexporte[Jahr],$B$5,Monatsexporte[Monat],10,Monatsexporte[Konto],B118)</f>
        <v>0</v>
      </c>
      <c r="AK118" s="22">
        <f t="shared" si="53"/>
        <v>0</v>
      </c>
      <c r="AL118" s="15">
        <f>SUMIFS(Monatsexporte[Saldo],Monatsexporte[Jahr],$B$4,Monatsexporte[Monat],11,Monatsexporte[Konto],B118)</f>
        <v>0</v>
      </c>
      <c r="AM118" s="15">
        <f>SUMIFS(Monatsexporte[Saldo],Monatsexporte[Jahr],$B$5,Monatsexporte[Monat],11,Monatsexporte[Konto],B118)</f>
        <v>0</v>
      </c>
      <c r="AN118" s="22">
        <f t="shared" si="54"/>
        <v>0</v>
      </c>
      <c r="AO118" s="15">
        <f>SUMIFS(Monatsexporte[Saldo],Monatsexporte[Jahr],$B$4,Monatsexporte[Monat],12,Monatsexporte[Konto],B118)</f>
        <v>0</v>
      </c>
      <c r="AP118" s="15">
        <f>SUMIFS(Monatsexporte[Saldo],Monatsexporte[Jahr],$B$5,Monatsexporte[Monat],12,Monatsexporte[Konto],B118)</f>
        <v>0</v>
      </c>
      <c r="AQ118" s="22">
        <f t="shared" si="55"/>
        <v>0</v>
      </c>
    </row>
    <row r="119" spans="1:43" outlineLevel="1" x14ac:dyDescent="0.45">
      <c r="A119" s="10" t="s">
        <v>512</v>
      </c>
      <c r="B119" s="39">
        <v>7101520</v>
      </c>
      <c r="C119" s="15">
        <v>733</v>
      </c>
      <c r="D119" s="15">
        <f ca="1">SUMIFS(Monatsexporte[Saldo],Monatsexporte[Jahr],$B$4,Monatsexporte[Monat],"&lt;="&amp;$B$8,Monatsexporte[Konto],B119)</f>
        <v>2198.94</v>
      </c>
      <c r="E119" s="15">
        <f ca="1">SUMIFS(Monatsexporte[Saldo],Monatsexporte[Jahr],$B$5,Monatsexporte[Monat],"&lt;="&amp;$B$8,Monatsexporte[Konto],B119)</f>
        <v>0</v>
      </c>
      <c r="F119" s="15">
        <f t="shared" ca="1" si="42"/>
        <v>2198.94</v>
      </c>
      <c r="G119" s="22">
        <f t="shared" ca="1" si="43"/>
        <v>0</v>
      </c>
      <c r="H119" s="15">
        <f>SUMIFS(Monatsexporte[Saldo],Monatsexporte[Jahr],$B$4,Monatsexporte[Monat],1,Monatsexporte[Konto],B119)</f>
        <v>0</v>
      </c>
      <c r="I119" s="15">
        <f>SUMIFS(Monatsexporte[Saldo],Monatsexporte[Jahr],$B$5,Monatsexporte[Monat],1,Monatsexporte[Konto],B119)</f>
        <v>0</v>
      </c>
      <c r="J119" s="22">
        <f t="shared" si="44"/>
        <v>0</v>
      </c>
      <c r="K119" s="15">
        <f>SUMIFS(Monatsexporte[Saldo],Monatsexporte[Jahr],$B$4,Monatsexporte[Monat],2,Monatsexporte[Konto],B119)</f>
        <v>0</v>
      </c>
      <c r="L119" s="15">
        <f>SUMIFS(Monatsexporte[Saldo],Monatsexporte[Jahr],$B$5,Monatsexporte[Monat],2,Monatsexporte[Konto],B119)</f>
        <v>0</v>
      </c>
      <c r="M119" s="22">
        <f t="shared" si="45"/>
        <v>0</v>
      </c>
      <c r="N119" s="15">
        <f>SUMIFS(Monatsexporte[Saldo],Monatsexporte[Jahr],$B$4,Monatsexporte[Monat],3,Monatsexporte[Konto],B119)</f>
        <v>732.98</v>
      </c>
      <c r="O119" s="15">
        <f>SUMIFS(Monatsexporte[Saldo],Monatsexporte[Jahr],$B$5,Monatsexporte[Monat],3,Monatsexporte[Konto],B119)</f>
        <v>0</v>
      </c>
      <c r="P119" s="22">
        <f t="shared" si="46"/>
        <v>0</v>
      </c>
      <c r="Q119" s="15">
        <f>SUMIFS(Monatsexporte[Saldo],Monatsexporte[Jahr],$B$4,Monatsexporte[Monat],4,Monatsexporte[Konto],B119)</f>
        <v>732.98</v>
      </c>
      <c r="R119" s="15">
        <f>SUMIFS(Monatsexporte[Saldo],Monatsexporte[Jahr],$B$5,Monatsexporte[Monat],4,Monatsexporte[Konto],B119)</f>
        <v>0</v>
      </c>
      <c r="S119" s="22">
        <f t="shared" si="47"/>
        <v>0</v>
      </c>
      <c r="T119" s="15">
        <f>SUMIFS(Monatsexporte[Saldo],Monatsexporte[Jahr],$B$4,Monatsexporte[Monat],5,Monatsexporte[Konto],B119)</f>
        <v>732.98</v>
      </c>
      <c r="U119" s="15">
        <f>SUMIFS(Monatsexporte[Saldo],Monatsexporte[Jahr],$B$5,Monatsexporte[Monat],5,Monatsexporte[Konto],B119)</f>
        <v>0</v>
      </c>
      <c r="V119" s="22">
        <f t="shared" si="48"/>
        <v>0</v>
      </c>
      <c r="W119" s="15">
        <f>SUMIFS(Monatsexporte[Saldo],Monatsexporte[Jahr],$B$4,Monatsexporte[Monat],6,Monatsexporte[Konto],B119)</f>
        <v>0</v>
      </c>
      <c r="X119" s="15">
        <f>SUMIFS(Monatsexporte[Saldo],Monatsexporte[Jahr],$B$5,Monatsexporte[Monat],6,Monatsexporte[Konto],B119)</f>
        <v>0</v>
      </c>
      <c r="Y119" s="22">
        <f t="shared" si="49"/>
        <v>0</v>
      </c>
      <c r="Z119" s="15">
        <f>SUMIFS(Monatsexporte[Saldo],Monatsexporte[Jahr],$B$4,Monatsexporte[Monat],7,Monatsexporte[Konto],B119)</f>
        <v>0</v>
      </c>
      <c r="AA119" s="15">
        <f>SUMIFS(Monatsexporte[Saldo],Monatsexporte[Jahr],$B$5,Monatsexporte[Monat],7,Monatsexporte[Konto],B119)</f>
        <v>0</v>
      </c>
      <c r="AB119" s="22">
        <f t="shared" si="50"/>
        <v>0</v>
      </c>
      <c r="AC119" s="15">
        <f>SUMIFS(Monatsexporte[Saldo],Monatsexporte[Jahr],$B$4,Monatsexporte[Monat],8,Monatsexporte[Konto],B119)</f>
        <v>0</v>
      </c>
      <c r="AD119" s="15">
        <f>SUMIFS(Monatsexporte[Saldo],Monatsexporte[Jahr],$B$5,Monatsexporte[Monat],8,Monatsexporte[Konto],B119)</f>
        <v>0</v>
      </c>
      <c r="AE119" s="22">
        <f t="shared" si="51"/>
        <v>0</v>
      </c>
      <c r="AF119" s="15">
        <f>SUMIFS(Monatsexporte[Saldo],Monatsexporte[Jahr],$B$4,Monatsexporte[Monat],9,Monatsexporte[Konto],B119)</f>
        <v>0</v>
      </c>
      <c r="AG119" s="15">
        <f>SUMIFS(Monatsexporte[Saldo],Monatsexporte[Jahr],$B$5,Monatsexporte[Monat],9,Monatsexporte[Konto],B119)</f>
        <v>0</v>
      </c>
      <c r="AH119" s="22">
        <f t="shared" si="52"/>
        <v>0</v>
      </c>
      <c r="AI119" s="15">
        <f>SUMIFS(Monatsexporte[Saldo],Monatsexporte[Jahr],$B$4,Monatsexporte[Monat],10,Monatsexporte[Konto],B119)</f>
        <v>0</v>
      </c>
      <c r="AJ119" s="15">
        <f>SUMIFS(Monatsexporte[Saldo],Monatsexporte[Jahr],$B$5,Monatsexporte[Monat],10,Monatsexporte[Konto],B119)</f>
        <v>0</v>
      </c>
      <c r="AK119" s="22">
        <f t="shared" si="53"/>
        <v>0</v>
      </c>
      <c r="AL119" s="15">
        <f>SUMIFS(Monatsexporte[Saldo],Monatsexporte[Jahr],$B$4,Monatsexporte[Monat],11,Monatsexporte[Konto],B119)</f>
        <v>0</v>
      </c>
      <c r="AM119" s="15">
        <f>SUMIFS(Monatsexporte[Saldo],Monatsexporte[Jahr],$B$5,Monatsexporte[Monat],11,Monatsexporte[Konto],B119)</f>
        <v>0</v>
      </c>
      <c r="AN119" s="22">
        <f t="shared" si="54"/>
        <v>0</v>
      </c>
      <c r="AO119" s="15">
        <f>SUMIFS(Monatsexporte[Saldo],Monatsexporte[Jahr],$B$4,Monatsexporte[Monat],12,Monatsexporte[Konto],B119)</f>
        <v>0</v>
      </c>
      <c r="AP119" s="15">
        <f>SUMIFS(Monatsexporte[Saldo],Monatsexporte[Jahr],$B$5,Monatsexporte[Monat],12,Monatsexporte[Konto],B119)</f>
        <v>0</v>
      </c>
      <c r="AQ119" s="22">
        <f t="shared" si="55"/>
        <v>0</v>
      </c>
    </row>
    <row r="120" spans="1:43" outlineLevel="1" x14ac:dyDescent="0.45">
      <c r="A120" s="10" t="s">
        <v>513</v>
      </c>
      <c r="B120" s="39">
        <v>7102010</v>
      </c>
      <c r="C120" s="15">
        <v>15050</v>
      </c>
      <c r="D120" s="15">
        <f ca="1">SUMIFS(Monatsexporte[Saldo],Monatsexporte[Jahr],$B$4,Monatsexporte[Monat],"&lt;="&amp;$B$8,Monatsexporte[Konto],B120)</f>
        <v>45148.83</v>
      </c>
      <c r="E120" s="15">
        <f ca="1">SUMIFS(Monatsexporte[Saldo],Monatsexporte[Jahr],$B$5,Monatsexporte[Monat],"&lt;="&amp;$B$8,Monatsexporte[Konto],B120)</f>
        <v>0</v>
      </c>
      <c r="F120" s="15">
        <f t="shared" ca="1" si="42"/>
        <v>45148.83</v>
      </c>
      <c r="G120" s="22">
        <f t="shared" ca="1" si="43"/>
        <v>0</v>
      </c>
      <c r="H120" s="15">
        <f>SUMIFS(Monatsexporte[Saldo],Monatsexporte[Jahr],$B$4,Monatsexporte[Monat],1,Monatsexporte[Konto],B120)</f>
        <v>0</v>
      </c>
      <c r="I120" s="15">
        <f>SUMIFS(Monatsexporte[Saldo],Monatsexporte[Jahr],$B$5,Monatsexporte[Monat],1,Monatsexporte[Konto],B120)</f>
        <v>0</v>
      </c>
      <c r="J120" s="22">
        <f t="shared" si="44"/>
        <v>0</v>
      </c>
      <c r="K120" s="15">
        <f>SUMIFS(Monatsexporte[Saldo],Monatsexporte[Jahr],$B$4,Monatsexporte[Monat],2,Monatsexporte[Konto],B120)</f>
        <v>0</v>
      </c>
      <c r="L120" s="15">
        <f>SUMIFS(Monatsexporte[Saldo],Monatsexporte[Jahr],$B$5,Monatsexporte[Monat],2,Monatsexporte[Konto],B120)</f>
        <v>0</v>
      </c>
      <c r="M120" s="22">
        <f t="shared" si="45"/>
        <v>0</v>
      </c>
      <c r="N120" s="15">
        <f>SUMIFS(Monatsexporte[Saldo],Monatsexporte[Jahr],$B$4,Monatsexporte[Monat],3,Monatsexporte[Konto],B120)</f>
        <v>15049.61</v>
      </c>
      <c r="O120" s="15">
        <f>SUMIFS(Monatsexporte[Saldo],Monatsexporte[Jahr],$B$5,Monatsexporte[Monat],3,Monatsexporte[Konto],B120)</f>
        <v>0</v>
      </c>
      <c r="P120" s="22">
        <f t="shared" si="46"/>
        <v>0</v>
      </c>
      <c r="Q120" s="15">
        <f>SUMIFS(Monatsexporte[Saldo],Monatsexporte[Jahr],$B$4,Monatsexporte[Monat],4,Monatsexporte[Konto],B120)</f>
        <v>15049.61</v>
      </c>
      <c r="R120" s="15">
        <f>SUMIFS(Monatsexporte[Saldo],Monatsexporte[Jahr],$B$5,Monatsexporte[Monat],4,Monatsexporte[Konto],B120)</f>
        <v>0</v>
      </c>
      <c r="S120" s="22">
        <f t="shared" si="47"/>
        <v>0</v>
      </c>
      <c r="T120" s="15">
        <f>SUMIFS(Monatsexporte[Saldo],Monatsexporte[Jahr],$B$4,Monatsexporte[Monat],5,Monatsexporte[Konto],B120)</f>
        <v>15049.61</v>
      </c>
      <c r="U120" s="15">
        <f>SUMIFS(Monatsexporte[Saldo],Monatsexporte[Jahr],$B$5,Monatsexporte[Monat],5,Monatsexporte[Konto],B120)</f>
        <v>0</v>
      </c>
      <c r="V120" s="22">
        <f t="shared" si="48"/>
        <v>0</v>
      </c>
      <c r="W120" s="15">
        <f>SUMIFS(Monatsexporte[Saldo],Monatsexporte[Jahr],$B$4,Monatsexporte[Monat],6,Monatsexporte[Konto],B120)</f>
        <v>0</v>
      </c>
      <c r="X120" s="15">
        <f>SUMIFS(Monatsexporte[Saldo],Monatsexporte[Jahr],$B$5,Monatsexporte[Monat],6,Monatsexporte[Konto],B120)</f>
        <v>0</v>
      </c>
      <c r="Y120" s="22">
        <f t="shared" si="49"/>
        <v>0</v>
      </c>
      <c r="Z120" s="15">
        <f>SUMIFS(Monatsexporte[Saldo],Monatsexporte[Jahr],$B$4,Monatsexporte[Monat],7,Monatsexporte[Konto],B120)</f>
        <v>0</v>
      </c>
      <c r="AA120" s="15">
        <f>SUMIFS(Monatsexporte[Saldo],Monatsexporte[Jahr],$B$5,Monatsexporte[Monat],7,Monatsexporte[Konto],B120)</f>
        <v>0</v>
      </c>
      <c r="AB120" s="22">
        <f t="shared" si="50"/>
        <v>0</v>
      </c>
      <c r="AC120" s="15">
        <f>SUMIFS(Monatsexporte[Saldo],Monatsexporte[Jahr],$B$4,Monatsexporte[Monat],8,Monatsexporte[Konto],B120)</f>
        <v>0</v>
      </c>
      <c r="AD120" s="15">
        <f>SUMIFS(Monatsexporte[Saldo],Monatsexporte[Jahr],$B$5,Monatsexporte[Monat],8,Monatsexporte[Konto],B120)</f>
        <v>0</v>
      </c>
      <c r="AE120" s="22">
        <f t="shared" si="51"/>
        <v>0</v>
      </c>
      <c r="AF120" s="15">
        <f>SUMIFS(Monatsexporte[Saldo],Monatsexporte[Jahr],$B$4,Monatsexporte[Monat],9,Monatsexporte[Konto],B120)</f>
        <v>0</v>
      </c>
      <c r="AG120" s="15">
        <f>SUMIFS(Monatsexporte[Saldo],Monatsexporte[Jahr],$B$5,Monatsexporte[Monat],9,Monatsexporte[Konto],B120)</f>
        <v>0</v>
      </c>
      <c r="AH120" s="22">
        <f t="shared" si="52"/>
        <v>0</v>
      </c>
      <c r="AI120" s="15">
        <f>SUMIFS(Monatsexporte[Saldo],Monatsexporte[Jahr],$B$4,Monatsexporte[Monat],10,Monatsexporte[Konto],B120)</f>
        <v>0</v>
      </c>
      <c r="AJ120" s="15">
        <f>SUMIFS(Monatsexporte[Saldo],Monatsexporte[Jahr],$B$5,Monatsexporte[Monat],10,Monatsexporte[Konto],B120)</f>
        <v>0</v>
      </c>
      <c r="AK120" s="22">
        <f t="shared" si="53"/>
        <v>0</v>
      </c>
      <c r="AL120" s="15">
        <f>SUMIFS(Monatsexporte[Saldo],Monatsexporte[Jahr],$B$4,Monatsexporte[Monat],11,Monatsexporte[Konto],B120)</f>
        <v>0</v>
      </c>
      <c r="AM120" s="15">
        <f>SUMIFS(Monatsexporte[Saldo],Monatsexporte[Jahr],$B$5,Monatsexporte[Monat],11,Monatsexporte[Konto],B120)</f>
        <v>0</v>
      </c>
      <c r="AN120" s="22">
        <f t="shared" si="54"/>
        <v>0</v>
      </c>
      <c r="AO120" s="15">
        <f>SUMIFS(Monatsexporte[Saldo],Monatsexporte[Jahr],$B$4,Monatsexporte[Monat],12,Monatsexporte[Konto],B120)</f>
        <v>0</v>
      </c>
      <c r="AP120" s="15">
        <f>SUMIFS(Monatsexporte[Saldo],Monatsexporte[Jahr],$B$5,Monatsexporte[Monat],12,Monatsexporte[Konto],B120)</f>
        <v>0</v>
      </c>
      <c r="AQ120" s="22">
        <f t="shared" si="55"/>
        <v>0</v>
      </c>
    </row>
    <row r="121" spans="1:43" outlineLevel="1" x14ac:dyDescent="0.45">
      <c r="A121" s="10" t="s">
        <v>514</v>
      </c>
      <c r="B121" s="39">
        <v>7102520</v>
      </c>
      <c r="C121" s="15">
        <v>29</v>
      </c>
      <c r="D121" s="15">
        <f ca="1">SUMIFS(Monatsexporte[Saldo],Monatsexporte[Jahr],$B$4,Monatsexporte[Monat],"&lt;="&amp;$B$8,Monatsexporte[Konto],B121)</f>
        <v>87.66</v>
      </c>
      <c r="E121" s="15">
        <f ca="1">SUMIFS(Monatsexporte[Saldo],Monatsexporte[Jahr],$B$5,Monatsexporte[Monat],"&lt;="&amp;$B$8,Monatsexporte[Konto],B121)</f>
        <v>0</v>
      </c>
      <c r="F121" s="15">
        <f t="shared" ca="1" si="42"/>
        <v>87.66</v>
      </c>
      <c r="G121" s="22">
        <f t="shared" ca="1" si="43"/>
        <v>0</v>
      </c>
      <c r="H121" s="15">
        <f>SUMIFS(Monatsexporte[Saldo],Monatsexporte[Jahr],$B$4,Monatsexporte[Monat],1,Monatsexporte[Konto],B121)</f>
        <v>0</v>
      </c>
      <c r="I121" s="15">
        <f>SUMIFS(Monatsexporte[Saldo],Monatsexporte[Jahr],$B$5,Monatsexporte[Monat],1,Monatsexporte[Konto],B121)</f>
        <v>0</v>
      </c>
      <c r="J121" s="22">
        <f t="shared" si="44"/>
        <v>0</v>
      </c>
      <c r="K121" s="15">
        <f>SUMIFS(Monatsexporte[Saldo],Monatsexporte[Jahr],$B$4,Monatsexporte[Monat],2,Monatsexporte[Konto],B121)</f>
        <v>0</v>
      </c>
      <c r="L121" s="15">
        <f>SUMIFS(Monatsexporte[Saldo],Monatsexporte[Jahr],$B$5,Monatsexporte[Monat],2,Monatsexporte[Konto],B121)</f>
        <v>0</v>
      </c>
      <c r="M121" s="22">
        <f t="shared" si="45"/>
        <v>0</v>
      </c>
      <c r="N121" s="15">
        <f>SUMIFS(Monatsexporte[Saldo],Monatsexporte[Jahr],$B$4,Monatsexporte[Monat],3,Monatsexporte[Konto],B121)</f>
        <v>29.22</v>
      </c>
      <c r="O121" s="15">
        <f>SUMIFS(Monatsexporte[Saldo],Monatsexporte[Jahr],$B$5,Monatsexporte[Monat],3,Monatsexporte[Konto],B121)</f>
        <v>0</v>
      </c>
      <c r="P121" s="22">
        <f t="shared" si="46"/>
        <v>0</v>
      </c>
      <c r="Q121" s="15">
        <f>SUMIFS(Monatsexporte[Saldo],Monatsexporte[Jahr],$B$4,Monatsexporte[Monat],4,Monatsexporte[Konto],B121)</f>
        <v>29.22</v>
      </c>
      <c r="R121" s="15">
        <f>SUMIFS(Monatsexporte[Saldo],Monatsexporte[Jahr],$B$5,Monatsexporte[Monat],4,Monatsexporte[Konto],B121)</f>
        <v>0</v>
      </c>
      <c r="S121" s="22">
        <f t="shared" si="47"/>
        <v>0</v>
      </c>
      <c r="T121" s="15">
        <f>SUMIFS(Monatsexporte[Saldo],Monatsexporte[Jahr],$B$4,Monatsexporte[Monat],5,Monatsexporte[Konto],B121)</f>
        <v>29.22</v>
      </c>
      <c r="U121" s="15">
        <f>SUMIFS(Monatsexporte[Saldo],Monatsexporte[Jahr],$B$5,Monatsexporte[Monat],5,Monatsexporte[Konto],B121)</f>
        <v>0</v>
      </c>
      <c r="V121" s="22">
        <f t="shared" si="48"/>
        <v>0</v>
      </c>
      <c r="W121" s="15">
        <f>SUMIFS(Monatsexporte[Saldo],Monatsexporte[Jahr],$B$4,Monatsexporte[Monat],6,Monatsexporte[Konto],B121)</f>
        <v>0</v>
      </c>
      <c r="X121" s="15">
        <f>SUMIFS(Monatsexporte[Saldo],Monatsexporte[Jahr],$B$5,Monatsexporte[Monat],6,Monatsexporte[Konto],B121)</f>
        <v>0</v>
      </c>
      <c r="Y121" s="22">
        <f t="shared" si="49"/>
        <v>0</v>
      </c>
      <c r="Z121" s="15">
        <f>SUMIFS(Monatsexporte[Saldo],Monatsexporte[Jahr],$B$4,Monatsexporte[Monat],7,Monatsexporte[Konto],B121)</f>
        <v>0</v>
      </c>
      <c r="AA121" s="15">
        <f>SUMIFS(Monatsexporte[Saldo],Monatsexporte[Jahr],$B$5,Monatsexporte[Monat],7,Monatsexporte[Konto],B121)</f>
        <v>0</v>
      </c>
      <c r="AB121" s="22">
        <f t="shared" si="50"/>
        <v>0</v>
      </c>
      <c r="AC121" s="15">
        <f>SUMIFS(Monatsexporte[Saldo],Monatsexporte[Jahr],$B$4,Monatsexporte[Monat],8,Monatsexporte[Konto],B121)</f>
        <v>0</v>
      </c>
      <c r="AD121" s="15">
        <f>SUMIFS(Monatsexporte[Saldo],Monatsexporte[Jahr],$B$5,Monatsexporte[Monat],8,Monatsexporte[Konto],B121)</f>
        <v>0</v>
      </c>
      <c r="AE121" s="22">
        <f t="shared" si="51"/>
        <v>0</v>
      </c>
      <c r="AF121" s="15">
        <f>SUMIFS(Monatsexporte[Saldo],Monatsexporte[Jahr],$B$4,Monatsexporte[Monat],9,Monatsexporte[Konto],B121)</f>
        <v>0</v>
      </c>
      <c r="AG121" s="15">
        <f>SUMIFS(Monatsexporte[Saldo],Monatsexporte[Jahr],$B$5,Monatsexporte[Monat],9,Monatsexporte[Konto],B121)</f>
        <v>0</v>
      </c>
      <c r="AH121" s="22">
        <f t="shared" si="52"/>
        <v>0</v>
      </c>
      <c r="AI121" s="15">
        <f>SUMIFS(Monatsexporte[Saldo],Monatsexporte[Jahr],$B$4,Monatsexporte[Monat],10,Monatsexporte[Konto],B121)</f>
        <v>0</v>
      </c>
      <c r="AJ121" s="15">
        <f>SUMIFS(Monatsexporte[Saldo],Monatsexporte[Jahr],$B$5,Monatsexporte[Monat],10,Monatsexporte[Konto],B121)</f>
        <v>0</v>
      </c>
      <c r="AK121" s="22">
        <f t="shared" si="53"/>
        <v>0</v>
      </c>
      <c r="AL121" s="15">
        <f>SUMIFS(Monatsexporte[Saldo],Monatsexporte[Jahr],$B$4,Monatsexporte[Monat],11,Monatsexporte[Konto],B121)</f>
        <v>0</v>
      </c>
      <c r="AM121" s="15">
        <f>SUMIFS(Monatsexporte[Saldo],Monatsexporte[Jahr],$B$5,Monatsexporte[Monat],11,Monatsexporte[Konto],B121)</f>
        <v>0</v>
      </c>
      <c r="AN121" s="22">
        <f t="shared" si="54"/>
        <v>0</v>
      </c>
      <c r="AO121" s="15">
        <f>SUMIFS(Monatsexporte[Saldo],Monatsexporte[Jahr],$B$4,Monatsexporte[Monat],12,Monatsexporte[Konto],B121)</f>
        <v>0</v>
      </c>
      <c r="AP121" s="15">
        <f>SUMIFS(Monatsexporte[Saldo],Monatsexporte[Jahr],$B$5,Monatsexporte[Monat],12,Monatsexporte[Konto],B121)</f>
        <v>0</v>
      </c>
      <c r="AQ121" s="22">
        <f t="shared" si="55"/>
        <v>0</v>
      </c>
    </row>
    <row r="122" spans="1:43" outlineLevel="1" x14ac:dyDescent="0.45">
      <c r="A122" s="10" t="s">
        <v>515</v>
      </c>
      <c r="B122" s="39">
        <v>7103024</v>
      </c>
      <c r="C122" s="15">
        <v>731</v>
      </c>
      <c r="D122" s="15">
        <f ca="1">SUMIFS(Monatsexporte[Saldo],Monatsexporte[Jahr],$B$4,Monatsexporte[Monat],"&lt;="&amp;$B$8,Monatsexporte[Konto],B122)</f>
        <v>2193.09</v>
      </c>
      <c r="E122" s="15">
        <f ca="1">SUMIFS(Monatsexporte[Saldo],Monatsexporte[Jahr],$B$5,Monatsexporte[Monat],"&lt;="&amp;$B$8,Monatsexporte[Konto],B122)</f>
        <v>0</v>
      </c>
      <c r="F122" s="15">
        <f t="shared" ca="1" si="42"/>
        <v>2193.09</v>
      </c>
      <c r="G122" s="22">
        <f t="shared" ca="1" si="43"/>
        <v>0</v>
      </c>
      <c r="H122" s="15">
        <f>SUMIFS(Monatsexporte[Saldo],Monatsexporte[Jahr],$B$4,Monatsexporte[Monat],1,Monatsexporte[Konto],B122)</f>
        <v>0</v>
      </c>
      <c r="I122" s="15">
        <f>SUMIFS(Monatsexporte[Saldo],Monatsexporte[Jahr],$B$5,Monatsexporte[Monat],1,Monatsexporte[Konto],B122)</f>
        <v>0</v>
      </c>
      <c r="J122" s="22">
        <f t="shared" si="44"/>
        <v>0</v>
      </c>
      <c r="K122" s="15">
        <f>SUMIFS(Monatsexporte[Saldo],Monatsexporte[Jahr],$B$4,Monatsexporte[Monat],2,Monatsexporte[Konto],B122)</f>
        <v>0</v>
      </c>
      <c r="L122" s="15">
        <f>SUMIFS(Monatsexporte[Saldo],Monatsexporte[Jahr],$B$5,Monatsexporte[Monat],2,Monatsexporte[Konto],B122)</f>
        <v>0</v>
      </c>
      <c r="M122" s="22">
        <f t="shared" si="45"/>
        <v>0</v>
      </c>
      <c r="N122" s="15">
        <f>SUMIFS(Monatsexporte[Saldo],Monatsexporte[Jahr],$B$4,Monatsexporte[Monat],3,Monatsexporte[Konto],B122)</f>
        <v>731.03</v>
      </c>
      <c r="O122" s="15">
        <f>SUMIFS(Monatsexporte[Saldo],Monatsexporte[Jahr],$B$5,Monatsexporte[Monat],3,Monatsexporte[Konto],B122)</f>
        <v>0</v>
      </c>
      <c r="P122" s="22">
        <f t="shared" si="46"/>
        <v>0</v>
      </c>
      <c r="Q122" s="15">
        <f>SUMIFS(Monatsexporte[Saldo],Monatsexporte[Jahr],$B$4,Monatsexporte[Monat],4,Monatsexporte[Konto],B122)</f>
        <v>731.03</v>
      </c>
      <c r="R122" s="15">
        <f>SUMIFS(Monatsexporte[Saldo],Monatsexporte[Jahr],$B$5,Monatsexporte[Monat],4,Monatsexporte[Konto],B122)</f>
        <v>0</v>
      </c>
      <c r="S122" s="22">
        <f t="shared" si="47"/>
        <v>0</v>
      </c>
      <c r="T122" s="15">
        <f>SUMIFS(Monatsexporte[Saldo],Monatsexporte[Jahr],$B$4,Monatsexporte[Monat],5,Monatsexporte[Konto],B122)</f>
        <v>731.03</v>
      </c>
      <c r="U122" s="15">
        <f>SUMIFS(Monatsexporte[Saldo],Monatsexporte[Jahr],$B$5,Monatsexporte[Monat],5,Monatsexporte[Konto],B122)</f>
        <v>0</v>
      </c>
      <c r="V122" s="22">
        <f t="shared" si="48"/>
        <v>0</v>
      </c>
      <c r="W122" s="15">
        <f>SUMIFS(Monatsexporte[Saldo],Monatsexporte[Jahr],$B$4,Monatsexporte[Monat],6,Monatsexporte[Konto],B122)</f>
        <v>0</v>
      </c>
      <c r="X122" s="15">
        <f>SUMIFS(Monatsexporte[Saldo],Monatsexporte[Jahr],$B$5,Monatsexporte[Monat],6,Monatsexporte[Konto],B122)</f>
        <v>0</v>
      </c>
      <c r="Y122" s="22">
        <f t="shared" si="49"/>
        <v>0</v>
      </c>
      <c r="Z122" s="15">
        <f>SUMIFS(Monatsexporte[Saldo],Monatsexporte[Jahr],$B$4,Monatsexporte[Monat],7,Monatsexporte[Konto],B122)</f>
        <v>0</v>
      </c>
      <c r="AA122" s="15">
        <f>SUMIFS(Monatsexporte[Saldo],Monatsexporte[Jahr],$B$5,Monatsexporte[Monat],7,Monatsexporte[Konto],B122)</f>
        <v>0</v>
      </c>
      <c r="AB122" s="22">
        <f t="shared" si="50"/>
        <v>0</v>
      </c>
      <c r="AC122" s="15">
        <f>SUMIFS(Monatsexporte[Saldo],Monatsexporte[Jahr],$B$4,Monatsexporte[Monat],8,Monatsexporte[Konto],B122)</f>
        <v>0</v>
      </c>
      <c r="AD122" s="15">
        <f>SUMIFS(Monatsexporte[Saldo],Monatsexporte[Jahr],$B$5,Monatsexporte[Monat],8,Monatsexporte[Konto],B122)</f>
        <v>0</v>
      </c>
      <c r="AE122" s="22">
        <f t="shared" si="51"/>
        <v>0</v>
      </c>
      <c r="AF122" s="15">
        <f>SUMIFS(Monatsexporte[Saldo],Monatsexporte[Jahr],$B$4,Monatsexporte[Monat],9,Monatsexporte[Konto],B122)</f>
        <v>0</v>
      </c>
      <c r="AG122" s="15">
        <f>SUMIFS(Monatsexporte[Saldo],Monatsexporte[Jahr],$B$5,Monatsexporte[Monat],9,Monatsexporte[Konto],B122)</f>
        <v>0</v>
      </c>
      <c r="AH122" s="22">
        <f t="shared" si="52"/>
        <v>0</v>
      </c>
      <c r="AI122" s="15">
        <f>SUMIFS(Monatsexporte[Saldo],Monatsexporte[Jahr],$B$4,Monatsexporte[Monat],10,Monatsexporte[Konto],B122)</f>
        <v>0</v>
      </c>
      <c r="AJ122" s="15">
        <f>SUMIFS(Monatsexporte[Saldo],Monatsexporte[Jahr],$B$5,Monatsexporte[Monat],10,Monatsexporte[Konto],B122)</f>
        <v>0</v>
      </c>
      <c r="AK122" s="22">
        <f t="shared" si="53"/>
        <v>0</v>
      </c>
      <c r="AL122" s="15">
        <f>SUMIFS(Monatsexporte[Saldo],Monatsexporte[Jahr],$B$4,Monatsexporte[Monat],11,Monatsexporte[Konto],B122)</f>
        <v>0</v>
      </c>
      <c r="AM122" s="15">
        <f>SUMIFS(Monatsexporte[Saldo],Monatsexporte[Jahr],$B$5,Monatsexporte[Monat],11,Monatsexporte[Konto],B122)</f>
        <v>0</v>
      </c>
      <c r="AN122" s="22">
        <f t="shared" si="54"/>
        <v>0</v>
      </c>
      <c r="AO122" s="15">
        <f>SUMIFS(Monatsexporte[Saldo],Monatsexporte[Jahr],$B$4,Monatsexporte[Monat],12,Monatsexporte[Konto],B122)</f>
        <v>0</v>
      </c>
      <c r="AP122" s="15">
        <f>SUMIFS(Monatsexporte[Saldo],Monatsexporte[Jahr],$B$5,Monatsexporte[Monat],12,Monatsexporte[Konto],B122)</f>
        <v>0</v>
      </c>
      <c r="AQ122" s="22">
        <f t="shared" si="55"/>
        <v>0</v>
      </c>
    </row>
    <row r="123" spans="1:43" outlineLevel="1" x14ac:dyDescent="0.45">
      <c r="A123" s="10" t="s">
        <v>516</v>
      </c>
      <c r="B123" s="39">
        <v>6902710</v>
      </c>
      <c r="C123" s="15">
        <v>70</v>
      </c>
      <c r="D123" s="15">
        <f ca="1">SUMIFS(Monatsexporte[Saldo],Monatsexporte[Jahr],$B$4,Monatsexporte[Monat],"&lt;="&amp;$B$8,Monatsexporte[Konto],B123)</f>
        <v>210</v>
      </c>
      <c r="E123" s="15">
        <f ca="1">SUMIFS(Monatsexporte[Saldo],Monatsexporte[Jahr],$B$5,Monatsexporte[Monat],"&lt;="&amp;$B$8,Monatsexporte[Konto],B123)</f>
        <v>0</v>
      </c>
      <c r="F123" s="15">
        <f t="shared" ca="1" si="42"/>
        <v>210</v>
      </c>
      <c r="G123" s="22">
        <f t="shared" ca="1" si="43"/>
        <v>0</v>
      </c>
      <c r="H123" s="15">
        <f>SUMIFS(Monatsexporte[Saldo],Monatsexporte[Jahr],$B$4,Monatsexporte[Monat],1,Monatsexporte[Konto],B123)</f>
        <v>0</v>
      </c>
      <c r="I123" s="15">
        <f>SUMIFS(Monatsexporte[Saldo],Monatsexporte[Jahr],$B$5,Monatsexporte[Monat],1,Monatsexporte[Konto],B123)</f>
        <v>0</v>
      </c>
      <c r="J123" s="22">
        <f t="shared" si="44"/>
        <v>0</v>
      </c>
      <c r="K123" s="15">
        <f>SUMIFS(Monatsexporte[Saldo],Monatsexporte[Jahr],$B$4,Monatsexporte[Monat],2,Monatsexporte[Konto],B123)</f>
        <v>0</v>
      </c>
      <c r="L123" s="15">
        <f>SUMIFS(Monatsexporte[Saldo],Monatsexporte[Jahr],$B$5,Monatsexporte[Monat],2,Monatsexporte[Konto],B123)</f>
        <v>0</v>
      </c>
      <c r="M123" s="22">
        <f t="shared" si="45"/>
        <v>0</v>
      </c>
      <c r="N123" s="15">
        <f>SUMIFS(Monatsexporte[Saldo],Monatsexporte[Jahr],$B$4,Monatsexporte[Monat],3,Monatsexporte[Konto],B123)</f>
        <v>70</v>
      </c>
      <c r="O123" s="15">
        <f>SUMIFS(Monatsexporte[Saldo],Monatsexporte[Jahr],$B$5,Monatsexporte[Monat],3,Monatsexporte[Konto],B123)</f>
        <v>0</v>
      </c>
      <c r="P123" s="22">
        <f t="shared" si="46"/>
        <v>0</v>
      </c>
      <c r="Q123" s="15">
        <f>SUMIFS(Monatsexporte[Saldo],Monatsexporte[Jahr],$B$4,Monatsexporte[Monat],4,Monatsexporte[Konto],B123)</f>
        <v>70</v>
      </c>
      <c r="R123" s="15">
        <f>SUMIFS(Monatsexporte[Saldo],Monatsexporte[Jahr],$B$5,Monatsexporte[Monat],4,Monatsexporte[Konto],B123)</f>
        <v>0</v>
      </c>
      <c r="S123" s="22">
        <f t="shared" si="47"/>
        <v>0</v>
      </c>
      <c r="T123" s="15">
        <f>SUMIFS(Monatsexporte[Saldo],Monatsexporte[Jahr],$B$4,Monatsexporte[Monat],5,Monatsexporte[Konto],B123)</f>
        <v>70</v>
      </c>
      <c r="U123" s="15">
        <f>SUMIFS(Monatsexporte[Saldo],Monatsexporte[Jahr],$B$5,Monatsexporte[Monat],5,Monatsexporte[Konto],B123)</f>
        <v>0</v>
      </c>
      <c r="V123" s="22">
        <f t="shared" si="48"/>
        <v>0</v>
      </c>
      <c r="W123" s="15">
        <f>SUMIFS(Monatsexporte[Saldo],Monatsexporte[Jahr],$B$4,Monatsexporte[Monat],6,Monatsexporte[Konto],B123)</f>
        <v>0</v>
      </c>
      <c r="X123" s="15">
        <f>SUMIFS(Monatsexporte[Saldo],Monatsexporte[Jahr],$B$5,Monatsexporte[Monat],6,Monatsexporte[Konto],B123)</f>
        <v>0</v>
      </c>
      <c r="Y123" s="22">
        <f t="shared" si="49"/>
        <v>0</v>
      </c>
      <c r="Z123" s="15">
        <f>SUMIFS(Monatsexporte[Saldo],Monatsexporte[Jahr],$B$4,Monatsexporte[Monat],7,Monatsexporte[Konto],B123)</f>
        <v>0</v>
      </c>
      <c r="AA123" s="15">
        <f>SUMIFS(Monatsexporte[Saldo],Monatsexporte[Jahr],$B$5,Monatsexporte[Monat],7,Monatsexporte[Konto],B123)</f>
        <v>0</v>
      </c>
      <c r="AB123" s="22">
        <f t="shared" si="50"/>
        <v>0</v>
      </c>
      <c r="AC123" s="15">
        <f>SUMIFS(Monatsexporte[Saldo],Monatsexporte[Jahr],$B$4,Monatsexporte[Monat],8,Monatsexporte[Konto],B123)</f>
        <v>0</v>
      </c>
      <c r="AD123" s="15">
        <f>SUMIFS(Monatsexporte[Saldo],Monatsexporte[Jahr],$B$5,Monatsexporte[Monat],8,Monatsexporte[Konto],B123)</f>
        <v>0</v>
      </c>
      <c r="AE123" s="22">
        <f t="shared" si="51"/>
        <v>0</v>
      </c>
      <c r="AF123" s="15">
        <f>SUMIFS(Monatsexporte[Saldo],Monatsexporte[Jahr],$B$4,Monatsexporte[Monat],9,Monatsexporte[Konto],B123)</f>
        <v>0</v>
      </c>
      <c r="AG123" s="15">
        <f>SUMIFS(Monatsexporte[Saldo],Monatsexporte[Jahr],$B$5,Monatsexporte[Monat],9,Monatsexporte[Konto],B123)</f>
        <v>0</v>
      </c>
      <c r="AH123" s="22">
        <f t="shared" si="52"/>
        <v>0</v>
      </c>
      <c r="AI123" s="15">
        <f>SUMIFS(Monatsexporte[Saldo],Monatsexporte[Jahr],$B$4,Monatsexporte[Monat],10,Monatsexporte[Konto],B123)</f>
        <v>0</v>
      </c>
      <c r="AJ123" s="15">
        <f>SUMIFS(Monatsexporte[Saldo],Monatsexporte[Jahr],$B$5,Monatsexporte[Monat],10,Monatsexporte[Konto],B123)</f>
        <v>0</v>
      </c>
      <c r="AK123" s="22">
        <f t="shared" si="53"/>
        <v>0</v>
      </c>
      <c r="AL123" s="15">
        <f>SUMIFS(Monatsexporte[Saldo],Monatsexporte[Jahr],$B$4,Monatsexporte[Monat],11,Monatsexporte[Konto],B123)</f>
        <v>0</v>
      </c>
      <c r="AM123" s="15">
        <f>SUMIFS(Monatsexporte[Saldo],Monatsexporte[Jahr],$B$5,Monatsexporte[Monat],11,Monatsexporte[Konto],B123)</f>
        <v>0</v>
      </c>
      <c r="AN123" s="22">
        <f t="shared" si="54"/>
        <v>0</v>
      </c>
      <c r="AO123" s="15">
        <f>SUMIFS(Monatsexporte[Saldo],Monatsexporte[Jahr],$B$4,Monatsexporte[Monat],12,Monatsexporte[Konto],B123)</f>
        <v>0</v>
      </c>
      <c r="AP123" s="15">
        <f>SUMIFS(Monatsexporte[Saldo],Monatsexporte[Jahr],$B$5,Monatsexporte[Monat],12,Monatsexporte[Konto],B123)</f>
        <v>0</v>
      </c>
      <c r="AQ123" s="22">
        <f t="shared" si="55"/>
        <v>0</v>
      </c>
    </row>
    <row r="124" spans="1:43" outlineLevel="1" x14ac:dyDescent="0.45">
      <c r="A124" s="10" t="s">
        <v>517</v>
      </c>
      <c r="B124" s="39">
        <v>6902725</v>
      </c>
      <c r="C124" s="15">
        <v>6194</v>
      </c>
      <c r="D124" s="15">
        <f ca="1">SUMIFS(Monatsexporte[Saldo],Monatsexporte[Jahr],$B$4,Monatsexporte[Monat],"&lt;="&amp;$B$8,Monatsexporte[Konto],B124)</f>
        <v>18581.550000000003</v>
      </c>
      <c r="E124" s="15">
        <f ca="1">SUMIFS(Monatsexporte[Saldo],Monatsexporte[Jahr],$B$5,Monatsexporte[Monat],"&lt;="&amp;$B$8,Monatsexporte[Konto],B124)</f>
        <v>0</v>
      </c>
      <c r="F124" s="15">
        <f t="shared" ca="1" si="42"/>
        <v>18581.550000000003</v>
      </c>
      <c r="G124" s="22">
        <f t="shared" ca="1" si="43"/>
        <v>0</v>
      </c>
      <c r="H124" s="15">
        <f>SUMIFS(Monatsexporte[Saldo],Monatsexporte[Jahr],$B$4,Monatsexporte[Monat],1,Monatsexporte[Konto],B124)</f>
        <v>0</v>
      </c>
      <c r="I124" s="15">
        <f>SUMIFS(Monatsexporte[Saldo],Monatsexporte[Jahr],$B$5,Monatsexporte[Monat],1,Monatsexporte[Konto],B124)</f>
        <v>0</v>
      </c>
      <c r="J124" s="22">
        <f t="shared" si="44"/>
        <v>0</v>
      </c>
      <c r="K124" s="15">
        <f>SUMIFS(Monatsexporte[Saldo],Monatsexporte[Jahr],$B$4,Monatsexporte[Monat],2,Monatsexporte[Konto],B124)</f>
        <v>0</v>
      </c>
      <c r="L124" s="15">
        <f>SUMIFS(Monatsexporte[Saldo],Monatsexporte[Jahr],$B$5,Monatsexporte[Monat],2,Monatsexporte[Konto],B124)</f>
        <v>0</v>
      </c>
      <c r="M124" s="22">
        <f t="shared" si="45"/>
        <v>0</v>
      </c>
      <c r="N124" s="15">
        <f>SUMIFS(Monatsexporte[Saldo],Monatsexporte[Jahr],$B$4,Monatsexporte[Monat],3,Monatsexporte[Konto],B124)</f>
        <v>6193.85</v>
      </c>
      <c r="O124" s="15">
        <f>SUMIFS(Monatsexporte[Saldo],Monatsexporte[Jahr],$B$5,Monatsexporte[Monat],3,Monatsexporte[Konto],B124)</f>
        <v>0</v>
      </c>
      <c r="P124" s="22">
        <f t="shared" si="46"/>
        <v>0</v>
      </c>
      <c r="Q124" s="15">
        <f>SUMIFS(Monatsexporte[Saldo],Monatsexporte[Jahr],$B$4,Monatsexporte[Monat],4,Monatsexporte[Konto],B124)</f>
        <v>6193.85</v>
      </c>
      <c r="R124" s="15">
        <f>SUMIFS(Monatsexporte[Saldo],Monatsexporte[Jahr],$B$5,Monatsexporte[Monat],4,Monatsexporte[Konto],B124)</f>
        <v>0</v>
      </c>
      <c r="S124" s="22">
        <f t="shared" si="47"/>
        <v>0</v>
      </c>
      <c r="T124" s="15">
        <f>SUMIFS(Monatsexporte[Saldo],Monatsexporte[Jahr],$B$4,Monatsexporte[Monat],5,Monatsexporte[Konto],B124)</f>
        <v>6193.85</v>
      </c>
      <c r="U124" s="15">
        <f>SUMIFS(Monatsexporte[Saldo],Monatsexporte[Jahr],$B$5,Monatsexporte[Monat],5,Monatsexporte[Konto],B124)</f>
        <v>0</v>
      </c>
      <c r="V124" s="22">
        <f t="shared" si="48"/>
        <v>0</v>
      </c>
      <c r="W124" s="15">
        <f>SUMIFS(Monatsexporte[Saldo],Monatsexporte[Jahr],$B$4,Monatsexporte[Monat],6,Monatsexporte[Konto],B124)</f>
        <v>0</v>
      </c>
      <c r="X124" s="15">
        <f>SUMIFS(Monatsexporte[Saldo],Monatsexporte[Jahr],$B$5,Monatsexporte[Monat],6,Monatsexporte[Konto],B124)</f>
        <v>0</v>
      </c>
      <c r="Y124" s="22">
        <f t="shared" si="49"/>
        <v>0</v>
      </c>
      <c r="Z124" s="15">
        <f>SUMIFS(Monatsexporte[Saldo],Monatsexporte[Jahr],$B$4,Monatsexporte[Monat],7,Monatsexporte[Konto],B124)</f>
        <v>0</v>
      </c>
      <c r="AA124" s="15">
        <f>SUMIFS(Monatsexporte[Saldo],Monatsexporte[Jahr],$B$5,Monatsexporte[Monat],7,Monatsexporte[Konto],B124)</f>
        <v>0</v>
      </c>
      <c r="AB124" s="22">
        <f t="shared" si="50"/>
        <v>0</v>
      </c>
      <c r="AC124" s="15">
        <f>SUMIFS(Monatsexporte[Saldo],Monatsexporte[Jahr],$B$4,Monatsexporte[Monat],8,Monatsexporte[Konto],B124)</f>
        <v>0</v>
      </c>
      <c r="AD124" s="15">
        <f>SUMIFS(Monatsexporte[Saldo],Monatsexporte[Jahr],$B$5,Monatsexporte[Monat],8,Monatsexporte[Konto],B124)</f>
        <v>0</v>
      </c>
      <c r="AE124" s="22">
        <f t="shared" si="51"/>
        <v>0</v>
      </c>
      <c r="AF124" s="15">
        <f>SUMIFS(Monatsexporte[Saldo],Monatsexporte[Jahr],$B$4,Monatsexporte[Monat],9,Monatsexporte[Konto],B124)</f>
        <v>0</v>
      </c>
      <c r="AG124" s="15">
        <f>SUMIFS(Monatsexporte[Saldo],Monatsexporte[Jahr],$B$5,Monatsexporte[Monat],9,Monatsexporte[Konto],B124)</f>
        <v>0</v>
      </c>
      <c r="AH124" s="22">
        <f t="shared" si="52"/>
        <v>0</v>
      </c>
      <c r="AI124" s="15">
        <f>SUMIFS(Monatsexporte[Saldo],Monatsexporte[Jahr],$B$4,Monatsexporte[Monat],10,Monatsexporte[Konto],B124)</f>
        <v>0</v>
      </c>
      <c r="AJ124" s="15">
        <f>SUMIFS(Monatsexporte[Saldo],Monatsexporte[Jahr],$B$5,Monatsexporte[Monat],10,Monatsexporte[Konto],B124)</f>
        <v>0</v>
      </c>
      <c r="AK124" s="22">
        <f t="shared" si="53"/>
        <v>0</v>
      </c>
      <c r="AL124" s="15">
        <f>SUMIFS(Monatsexporte[Saldo],Monatsexporte[Jahr],$B$4,Monatsexporte[Monat],11,Monatsexporte[Konto],B124)</f>
        <v>0</v>
      </c>
      <c r="AM124" s="15">
        <f>SUMIFS(Monatsexporte[Saldo],Monatsexporte[Jahr],$B$5,Monatsexporte[Monat],11,Monatsexporte[Konto],B124)</f>
        <v>0</v>
      </c>
      <c r="AN124" s="22">
        <f t="shared" si="54"/>
        <v>0</v>
      </c>
      <c r="AO124" s="15">
        <f>SUMIFS(Monatsexporte[Saldo],Monatsexporte[Jahr],$B$4,Monatsexporte[Monat],12,Monatsexporte[Konto],B124)</f>
        <v>0</v>
      </c>
      <c r="AP124" s="15">
        <f>SUMIFS(Monatsexporte[Saldo],Monatsexporte[Jahr],$B$5,Monatsexporte[Monat],12,Monatsexporte[Konto],B124)</f>
        <v>0</v>
      </c>
      <c r="AQ124" s="22">
        <f t="shared" si="55"/>
        <v>0</v>
      </c>
    </row>
    <row r="125" spans="1:43" outlineLevel="1" x14ac:dyDescent="0.45">
      <c r="A125" s="10" t="s">
        <v>518</v>
      </c>
      <c r="B125" s="39">
        <v>6902730</v>
      </c>
      <c r="C125" s="15">
        <v>150</v>
      </c>
      <c r="D125" s="15">
        <f ca="1">SUMIFS(Monatsexporte[Saldo],Monatsexporte[Jahr],$B$4,Monatsexporte[Monat],"&lt;="&amp;$B$8,Monatsexporte[Konto],B125)</f>
        <v>450</v>
      </c>
      <c r="E125" s="15">
        <f ca="1">SUMIFS(Monatsexporte[Saldo],Monatsexporte[Jahr],$B$5,Monatsexporte[Monat],"&lt;="&amp;$B$8,Monatsexporte[Konto],B125)</f>
        <v>0</v>
      </c>
      <c r="F125" s="15">
        <f t="shared" ca="1" si="42"/>
        <v>450</v>
      </c>
      <c r="G125" s="22">
        <f t="shared" ca="1" si="43"/>
        <v>0</v>
      </c>
      <c r="H125" s="15">
        <f>SUMIFS(Monatsexporte[Saldo],Monatsexporte[Jahr],$B$4,Monatsexporte[Monat],1,Monatsexporte[Konto],B125)</f>
        <v>0</v>
      </c>
      <c r="I125" s="15">
        <f>SUMIFS(Monatsexporte[Saldo],Monatsexporte[Jahr],$B$5,Monatsexporte[Monat],1,Monatsexporte[Konto],B125)</f>
        <v>0</v>
      </c>
      <c r="J125" s="22">
        <f t="shared" si="44"/>
        <v>0</v>
      </c>
      <c r="K125" s="15">
        <f>SUMIFS(Monatsexporte[Saldo],Monatsexporte[Jahr],$B$4,Monatsexporte[Monat],2,Monatsexporte[Konto],B125)</f>
        <v>0</v>
      </c>
      <c r="L125" s="15">
        <f>SUMIFS(Monatsexporte[Saldo],Monatsexporte[Jahr],$B$5,Monatsexporte[Monat],2,Monatsexporte[Konto],B125)</f>
        <v>0</v>
      </c>
      <c r="M125" s="22">
        <f t="shared" si="45"/>
        <v>0</v>
      </c>
      <c r="N125" s="15">
        <f>SUMIFS(Monatsexporte[Saldo],Monatsexporte[Jahr],$B$4,Monatsexporte[Monat],3,Monatsexporte[Konto],B125)</f>
        <v>150</v>
      </c>
      <c r="O125" s="15">
        <f>SUMIFS(Monatsexporte[Saldo],Monatsexporte[Jahr],$B$5,Monatsexporte[Monat],3,Monatsexporte[Konto],B125)</f>
        <v>0</v>
      </c>
      <c r="P125" s="22">
        <f t="shared" si="46"/>
        <v>0</v>
      </c>
      <c r="Q125" s="15">
        <f>SUMIFS(Monatsexporte[Saldo],Monatsexporte[Jahr],$B$4,Monatsexporte[Monat],4,Monatsexporte[Konto],B125)</f>
        <v>150</v>
      </c>
      <c r="R125" s="15">
        <f>SUMIFS(Monatsexporte[Saldo],Monatsexporte[Jahr],$B$5,Monatsexporte[Monat],4,Monatsexporte[Konto],B125)</f>
        <v>0</v>
      </c>
      <c r="S125" s="22">
        <f t="shared" si="47"/>
        <v>0</v>
      </c>
      <c r="T125" s="15">
        <f>SUMIFS(Monatsexporte[Saldo],Monatsexporte[Jahr],$B$4,Monatsexporte[Monat],5,Monatsexporte[Konto],B125)</f>
        <v>150</v>
      </c>
      <c r="U125" s="15">
        <f>SUMIFS(Monatsexporte[Saldo],Monatsexporte[Jahr],$B$5,Monatsexporte[Monat],5,Monatsexporte[Konto],B125)</f>
        <v>0</v>
      </c>
      <c r="V125" s="22">
        <f t="shared" si="48"/>
        <v>0</v>
      </c>
      <c r="W125" s="15">
        <f>SUMIFS(Monatsexporte[Saldo],Monatsexporte[Jahr],$B$4,Monatsexporte[Monat],6,Monatsexporte[Konto],B125)</f>
        <v>0</v>
      </c>
      <c r="X125" s="15">
        <f>SUMIFS(Monatsexporte[Saldo],Monatsexporte[Jahr],$B$5,Monatsexporte[Monat],6,Monatsexporte[Konto],B125)</f>
        <v>0</v>
      </c>
      <c r="Y125" s="22">
        <f t="shared" si="49"/>
        <v>0</v>
      </c>
      <c r="Z125" s="15">
        <f>SUMIFS(Monatsexporte[Saldo],Monatsexporte[Jahr],$B$4,Monatsexporte[Monat],7,Monatsexporte[Konto],B125)</f>
        <v>0</v>
      </c>
      <c r="AA125" s="15">
        <f>SUMIFS(Monatsexporte[Saldo],Monatsexporte[Jahr],$B$5,Monatsexporte[Monat],7,Monatsexporte[Konto],B125)</f>
        <v>0</v>
      </c>
      <c r="AB125" s="22">
        <f t="shared" si="50"/>
        <v>0</v>
      </c>
      <c r="AC125" s="15">
        <f>SUMIFS(Monatsexporte[Saldo],Monatsexporte[Jahr],$B$4,Monatsexporte[Monat],8,Monatsexporte[Konto],B125)</f>
        <v>0</v>
      </c>
      <c r="AD125" s="15">
        <f>SUMIFS(Monatsexporte[Saldo],Monatsexporte[Jahr],$B$5,Monatsexporte[Monat],8,Monatsexporte[Konto],B125)</f>
        <v>0</v>
      </c>
      <c r="AE125" s="22">
        <f t="shared" si="51"/>
        <v>0</v>
      </c>
      <c r="AF125" s="15">
        <f>SUMIFS(Monatsexporte[Saldo],Monatsexporte[Jahr],$B$4,Monatsexporte[Monat],9,Monatsexporte[Konto],B125)</f>
        <v>0</v>
      </c>
      <c r="AG125" s="15">
        <f>SUMIFS(Monatsexporte[Saldo],Monatsexporte[Jahr],$B$5,Monatsexporte[Monat],9,Monatsexporte[Konto],B125)</f>
        <v>0</v>
      </c>
      <c r="AH125" s="22">
        <f t="shared" si="52"/>
        <v>0</v>
      </c>
      <c r="AI125" s="15">
        <f>SUMIFS(Monatsexporte[Saldo],Monatsexporte[Jahr],$B$4,Monatsexporte[Monat],10,Monatsexporte[Konto],B125)</f>
        <v>0</v>
      </c>
      <c r="AJ125" s="15">
        <f>SUMIFS(Monatsexporte[Saldo],Monatsexporte[Jahr],$B$5,Monatsexporte[Monat],10,Monatsexporte[Konto],B125)</f>
        <v>0</v>
      </c>
      <c r="AK125" s="22">
        <f t="shared" si="53"/>
        <v>0</v>
      </c>
      <c r="AL125" s="15">
        <f>SUMIFS(Monatsexporte[Saldo],Monatsexporte[Jahr],$B$4,Monatsexporte[Monat],11,Monatsexporte[Konto],B125)</f>
        <v>0</v>
      </c>
      <c r="AM125" s="15">
        <f>SUMIFS(Monatsexporte[Saldo],Monatsexporte[Jahr],$B$5,Monatsexporte[Monat],11,Monatsexporte[Konto],B125)</f>
        <v>0</v>
      </c>
      <c r="AN125" s="22">
        <f t="shared" si="54"/>
        <v>0</v>
      </c>
      <c r="AO125" s="15">
        <f>SUMIFS(Monatsexporte[Saldo],Monatsexporte[Jahr],$B$4,Monatsexporte[Monat],12,Monatsexporte[Konto],B125)</f>
        <v>0</v>
      </c>
      <c r="AP125" s="15">
        <f>SUMIFS(Monatsexporte[Saldo],Monatsexporte[Jahr],$B$5,Monatsexporte[Monat],12,Monatsexporte[Konto],B125)</f>
        <v>0</v>
      </c>
      <c r="AQ125" s="22">
        <f t="shared" si="55"/>
        <v>0</v>
      </c>
    </row>
    <row r="126" spans="1:43" outlineLevel="1" x14ac:dyDescent="0.45">
      <c r="A126" s="10" t="s">
        <v>519</v>
      </c>
      <c r="B126" s="39">
        <v>6903310</v>
      </c>
      <c r="C126" s="15">
        <v>169</v>
      </c>
      <c r="D126" s="15">
        <f ca="1">SUMIFS(Monatsexporte[Saldo],Monatsexporte[Jahr],$B$4,Monatsexporte[Monat],"&lt;="&amp;$B$8,Monatsexporte[Konto],B126)</f>
        <v>505.91999999999996</v>
      </c>
      <c r="E126" s="15">
        <f ca="1">SUMIFS(Monatsexporte[Saldo],Monatsexporte[Jahr],$B$5,Monatsexporte[Monat],"&lt;="&amp;$B$8,Monatsexporte[Konto],B126)</f>
        <v>0</v>
      </c>
      <c r="F126" s="15">
        <f t="shared" ca="1" si="42"/>
        <v>505.91999999999996</v>
      </c>
      <c r="G126" s="22">
        <f t="shared" ca="1" si="43"/>
        <v>0</v>
      </c>
      <c r="H126" s="15">
        <f>SUMIFS(Monatsexporte[Saldo],Monatsexporte[Jahr],$B$4,Monatsexporte[Monat],1,Monatsexporte[Konto],B126)</f>
        <v>0</v>
      </c>
      <c r="I126" s="15">
        <f>SUMIFS(Monatsexporte[Saldo],Monatsexporte[Jahr],$B$5,Monatsexporte[Monat],1,Monatsexporte[Konto],B126)</f>
        <v>0</v>
      </c>
      <c r="J126" s="22">
        <f t="shared" si="44"/>
        <v>0</v>
      </c>
      <c r="K126" s="15">
        <f>SUMIFS(Monatsexporte[Saldo],Monatsexporte[Jahr],$B$4,Monatsexporte[Monat],2,Monatsexporte[Konto],B126)</f>
        <v>0</v>
      </c>
      <c r="L126" s="15">
        <f>SUMIFS(Monatsexporte[Saldo],Monatsexporte[Jahr],$B$5,Monatsexporte[Monat],2,Monatsexporte[Konto],B126)</f>
        <v>0</v>
      </c>
      <c r="M126" s="22">
        <f t="shared" si="45"/>
        <v>0</v>
      </c>
      <c r="N126" s="15">
        <f>SUMIFS(Monatsexporte[Saldo],Monatsexporte[Jahr],$B$4,Monatsexporte[Monat],3,Monatsexporte[Konto],B126)</f>
        <v>168.64</v>
      </c>
      <c r="O126" s="15">
        <f>SUMIFS(Monatsexporte[Saldo],Monatsexporte[Jahr],$B$5,Monatsexporte[Monat],3,Monatsexporte[Konto],B126)</f>
        <v>0</v>
      </c>
      <c r="P126" s="22">
        <f t="shared" si="46"/>
        <v>0</v>
      </c>
      <c r="Q126" s="15">
        <f>SUMIFS(Monatsexporte[Saldo],Monatsexporte[Jahr],$B$4,Monatsexporte[Monat],4,Monatsexporte[Konto],B126)</f>
        <v>168.64</v>
      </c>
      <c r="R126" s="15">
        <f>SUMIFS(Monatsexporte[Saldo],Monatsexporte[Jahr],$B$5,Monatsexporte[Monat],4,Monatsexporte[Konto],B126)</f>
        <v>0</v>
      </c>
      <c r="S126" s="22">
        <f t="shared" si="47"/>
        <v>0</v>
      </c>
      <c r="T126" s="15">
        <f>SUMIFS(Monatsexporte[Saldo],Monatsexporte[Jahr],$B$4,Monatsexporte[Monat],5,Monatsexporte[Konto],B126)</f>
        <v>168.64</v>
      </c>
      <c r="U126" s="15">
        <f>SUMIFS(Monatsexporte[Saldo],Monatsexporte[Jahr],$B$5,Monatsexporte[Monat],5,Monatsexporte[Konto],B126)</f>
        <v>0</v>
      </c>
      <c r="V126" s="22">
        <f t="shared" si="48"/>
        <v>0</v>
      </c>
      <c r="W126" s="15">
        <f>SUMIFS(Monatsexporte[Saldo],Monatsexporte[Jahr],$B$4,Monatsexporte[Monat],6,Monatsexporte[Konto],B126)</f>
        <v>0</v>
      </c>
      <c r="X126" s="15">
        <f>SUMIFS(Monatsexporte[Saldo],Monatsexporte[Jahr],$B$5,Monatsexporte[Monat],6,Monatsexporte[Konto],B126)</f>
        <v>0</v>
      </c>
      <c r="Y126" s="22">
        <f t="shared" si="49"/>
        <v>0</v>
      </c>
      <c r="Z126" s="15">
        <f>SUMIFS(Monatsexporte[Saldo],Monatsexporte[Jahr],$B$4,Monatsexporte[Monat],7,Monatsexporte[Konto],B126)</f>
        <v>0</v>
      </c>
      <c r="AA126" s="15">
        <f>SUMIFS(Monatsexporte[Saldo],Monatsexporte[Jahr],$B$5,Monatsexporte[Monat],7,Monatsexporte[Konto],B126)</f>
        <v>0</v>
      </c>
      <c r="AB126" s="22">
        <f t="shared" si="50"/>
        <v>0</v>
      </c>
      <c r="AC126" s="15">
        <f>SUMIFS(Monatsexporte[Saldo],Monatsexporte[Jahr],$B$4,Monatsexporte[Monat],8,Monatsexporte[Konto],B126)</f>
        <v>0</v>
      </c>
      <c r="AD126" s="15">
        <f>SUMIFS(Monatsexporte[Saldo],Monatsexporte[Jahr],$B$5,Monatsexporte[Monat],8,Monatsexporte[Konto],B126)</f>
        <v>0</v>
      </c>
      <c r="AE126" s="22">
        <f t="shared" si="51"/>
        <v>0</v>
      </c>
      <c r="AF126" s="15">
        <f>SUMIFS(Monatsexporte[Saldo],Monatsexporte[Jahr],$B$4,Monatsexporte[Monat],9,Monatsexporte[Konto],B126)</f>
        <v>0</v>
      </c>
      <c r="AG126" s="15">
        <f>SUMIFS(Monatsexporte[Saldo],Monatsexporte[Jahr],$B$5,Monatsexporte[Monat],9,Monatsexporte[Konto],B126)</f>
        <v>0</v>
      </c>
      <c r="AH126" s="22">
        <f t="shared" si="52"/>
        <v>0</v>
      </c>
      <c r="AI126" s="15">
        <f>SUMIFS(Monatsexporte[Saldo],Monatsexporte[Jahr],$B$4,Monatsexporte[Monat],10,Monatsexporte[Konto],B126)</f>
        <v>0</v>
      </c>
      <c r="AJ126" s="15">
        <f>SUMIFS(Monatsexporte[Saldo],Monatsexporte[Jahr],$B$5,Monatsexporte[Monat],10,Monatsexporte[Konto],B126)</f>
        <v>0</v>
      </c>
      <c r="AK126" s="22">
        <f t="shared" si="53"/>
        <v>0</v>
      </c>
      <c r="AL126" s="15">
        <f>SUMIFS(Monatsexporte[Saldo],Monatsexporte[Jahr],$B$4,Monatsexporte[Monat],11,Monatsexporte[Konto],B126)</f>
        <v>0</v>
      </c>
      <c r="AM126" s="15">
        <f>SUMIFS(Monatsexporte[Saldo],Monatsexporte[Jahr],$B$5,Monatsexporte[Monat],11,Monatsexporte[Konto],B126)</f>
        <v>0</v>
      </c>
      <c r="AN126" s="22">
        <f t="shared" si="54"/>
        <v>0</v>
      </c>
      <c r="AO126" s="15">
        <f>SUMIFS(Monatsexporte[Saldo],Monatsexporte[Jahr],$B$4,Monatsexporte[Monat],12,Monatsexporte[Konto],B126)</f>
        <v>0</v>
      </c>
      <c r="AP126" s="15">
        <f>SUMIFS(Monatsexporte[Saldo],Monatsexporte[Jahr],$B$5,Monatsexporte[Monat],12,Monatsexporte[Konto],B126)</f>
        <v>0</v>
      </c>
      <c r="AQ126" s="22">
        <f t="shared" si="55"/>
        <v>0</v>
      </c>
    </row>
    <row r="127" spans="1:43" outlineLevel="1" x14ac:dyDescent="0.45">
      <c r="A127" s="10" t="s">
        <v>520</v>
      </c>
      <c r="B127" s="39">
        <v>6903315</v>
      </c>
      <c r="C127" s="15">
        <v>1443</v>
      </c>
      <c r="D127" s="15">
        <f ca="1">SUMIFS(Monatsexporte[Saldo],Monatsexporte[Jahr],$B$4,Monatsexporte[Monat],"&lt;="&amp;$B$8,Monatsexporte[Konto],B127)</f>
        <v>4330.17</v>
      </c>
      <c r="E127" s="15">
        <f ca="1">SUMIFS(Monatsexporte[Saldo],Monatsexporte[Jahr],$B$5,Monatsexporte[Monat],"&lt;="&amp;$B$8,Monatsexporte[Konto],B127)</f>
        <v>0</v>
      </c>
      <c r="F127" s="15">
        <f t="shared" ca="1" si="42"/>
        <v>4330.17</v>
      </c>
      <c r="G127" s="22">
        <f t="shared" ca="1" si="43"/>
        <v>0</v>
      </c>
      <c r="H127" s="15">
        <f>SUMIFS(Monatsexporte[Saldo],Monatsexporte[Jahr],$B$4,Monatsexporte[Monat],1,Monatsexporte[Konto],B127)</f>
        <v>0</v>
      </c>
      <c r="I127" s="15">
        <f>SUMIFS(Monatsexporte[Saldo],Monatsexporte[Jahr],$B$5,Monatsexporte[Monat],1,Monatsexporte[Konto],B127)</f>
        <v>0</v>
      </c>
      <c r="J127" s="22">
        <f t="shared" si="44"/>
        <v>0</v>
      </c>
      <c r="K127" s="15">
        <f>SUMIFS(Monatsexporte[Saldo],Monatsexporte[Jahr],$B$4,Monatsexporte[Monat],2,Monatsexporte[Konto],B127)</f>
        <v>0</v>
      </c>
      <c r="L127" s="15">
        <f>SUMIFS(Monatsexporte[Saldo],Monatsexporte[Jahr],$B$5,Monatsexporte[Monat],2,Monatsexporte[Konto],B127)</f>
        <v>0</v>
      </c>
      <c r="M127" s="22">
        <f t="shared" si="45"/>
        <v>0</v>
      </c>
      <c r="N127" s="15">
        <f>SUMIFS(Monatsexporte[Saldo],Monatsexporte[Jahr],$B$4,Monatsexporte[Monat],3,Monatsexporte[Konto],B127)</f>
        <v>1443.39</v>
      </c>
      <c r="O127" s="15">
        <f>SUMIFS(Monatsexporte[Saldo],Monatsexporte[Jahr],$B$5,Monatsexporte[Monat],3,Monatsexporte[Konto],B127)</f>
        <v>0</v>
      </c>
      <c r="P127" s="22">
        <f t="shared" si="46"/>
        <v>0</v>
      </c>
      <c r="Q127" s="15">
        <f>SUMIFS(Monatsexporte[Saldo],Monatsexporte[Jahr],$B$4,Monatsexporte[Monat],4,Monatsexporte[Konto],B127)</f>
        <v>1443.39</v>
      </c>
      <c r="R127" s="15">
        <f>SUMIFS(Monatsexporte[Saldo],Monatsexporte[Jahr],$B$5,Monatsexporte[Monat],4,Monatsexporte[Konto],B127)</f>
        <v>0</v>
      </c>
      <c r="S127" s="22">
        <f t="shared" si="47"/>
        <v>0</v>
      </c>
      <c r="T127" s="15">
        <f>SUMIFS(Monatsexporte[Saldo],Monatsexporte[Jahr],$B$4,Monatsexporte[Monat],5,Monatsexporte[Konto],B127)</f>
        <v>1443.39</v>
      </c>
      <c r="U127" s="15">
        <f>SUMIFS(Monatsexporte[Saldo],Monatsexporte[Jahr],$B$5,Monatsexporte[Monat],5,Monatsexporte[Konto],B127)</f>
        <v>0</v>
      </c>
      <c r="V127" s="22">
        <f t="shared" si="48"/>
        <v>0</v>
      </c>
      <c r="W127" s="15">
        <f>SUMIFS(Monatsexporte[Saldo],Monatsexporte[Jahr],$B$4,Monatsexporte[Monat],6,Monatsexporte[Konto],B127)</f>
        <v>0</v>
      </c>
      <c r="X127" s="15">
        <f>SUMIFS(Monatsexporte[Saldo],Monatsexporte[Jahr],$B$5,Monatsexporte[Monat],6,Monatsexporte[Konto],B127)</f>
        <v>0</v>
      </c>
      <c r="Y127" s="22">
        <f t="shared" si="49"/>
        <v>0</v>
      </c>
      <c r="Z127" s="15">
        <f>SUMIFS(Monatsexporte[Saldo],Monatsexporte[Jahr],$B$4,Monatsexporte[Monat],7,Monatsexporte[Konto],B127)</f>
        <v>0</v>
      </c>
      <c r="AA127" s="15">
        <f>SUMIFS(Monatsexporte[Saldo],Monatsexporte[Jahr],$B$5,Monatsexporte[Monat],7,Monatsexporte[Konto],B127)</f>
        <v>0</v>
      </c>
      <c r="AB127" s="22">
        <f t="shared" si="50"/>
        <v>0</v>
      </c>
      <c r="AC127" s="15">
        <f>SUMIFS(Monatsexporte[Saldo],Monatsexporte[Jahr],$B$4,Monatsexporte[Monat],8,Monatsexporte[Konto],B127)</f>
        <v>0</v>
      </c>
      <c r="AD127" s="15">
        <f>SUMIFS(Monatsexporte[Saldo],Monatsexporte[Jahr],$B$5,Monatsexporte[Monat],8,Monatsexporte[Konto],B127)</f>
        <v>0</v>
      </c>
      <c r="AE127" s="22">
        <f t="shared" si="51"/>
        <v>0</v>
      </c>
      <c r="AF127" s="15">
        <f>SUMIFS(Monatsexporte[Saldo],Monatsexporte[Jahr],$B$4,Monatsexporte[Monat],9,Monatsexporte[Konto],B127)</f>
        <v>0</v>
      </c>
      <c r="AG127" s="15">
        <f>SUMIFS(Monatsexporte[Saldo],Monatsexporte[Jahr],$B$5,Monatsexporte[Monat],9,Monatsexporte[Konto],B127)</f>
        <v>0</v>
      </c>
      <c r="AH127" s="22">
        <f t="shared" si="52"/>
        <v>0</v>
      </c>
      <c r="AI127" s="15">
        <f>SUMIFS(Monatsexporte[Saldo],Monatsexporte[Jahr],$B$4,Monatsexporte[Monat],10,Monatsexporte[Konto],B127)</f>
        <v>0</v>
      </c>
      <c r="AJ127" s="15">
        <f>SUMIFS(Monatsexporte[Saldo],Monatsexporte[Jahr],$B$5,Monatsexporte[Monat],10,Monatsexporte[Konto],B127)</f>
        <v>0</v>
      </c>
      <c r="AK127" s="22">
        <f t="shared" si="53"/>
        <v>0</v>
      </c>
      <c r="AL127" s="15">
        <f>SUMIFS(Monatsexporte[Saldo],Monatsexporte[Jahr],$B$4,Monatsexporte[Monat],11,Monatsexporte[Konto],B127)</f>
        <v>0</v>
      </c>
      <c r="AM127" s="15">
        <f>SUMIFS(Monatsexporte[Saldo],Monatsexporte[Jahr],$B$5,Monatsexporte[Monat],11,Monatsexporte[Konto],B127)</f>
        <v>0</v>
      </c>
      <c r="AN127" s="22">
        <f t="shared" si="54"/>
        <v>0</v>
      </c>
      <c r="AO127" s="15">
        <f>SUMIFS(Monatsexporte[Saldo],Monatsexporte[Jahr],$B$4,Monatsexporte[Monat],12,Monatsexporte[Konto],B127)</f>
        <v>0</v>
      </c>
      <c r="AP127" s="15">
        <f>SUMIFS(Monatsexporte[Saldo],Monatsexporte[Jahr],$B$5,Monatsexporte[Monat],12,Monatsexporte[Konto],B127)</f>
        <v>0</v>
      </c>
      <c r="AQ127" s="22">
        <f t="shared" si="55"/>
        <v>0</v>
      </c>
    </row>
    <row r="128" spans="1:43" outlineLevel="1" x14ac:dyDescent="0.45">
      <c r="A128" s="10" t="s">
        <v>521</v>
      </c>
      <c r="B128" s="39">
        <v>6903320</v>
      </c>
      <c r="C128" s="15">
        <v>2851</v>
      </c>
      <c r="D128" s="15">
        <f ca="1">SUMIFS(Monatsexporte[Saldo],Monatsexporte[Jahr],$B$4,Monatsexporte[Monat],"&lt;="&amp;$B$8,Monatsexporte[Konto],B128)</f>
        <v>8552.76</v>
      </c>
      <c r="E128" s="15">
        <f ca="1">SUMIFS(Monatsexporte[Saldo],Monatsexporte[Jahr],$B$5,Monatsexporte[Monat],"&lt;="&amp;$B$8,Monatsexporte[Konto],B128)</f>
        <v>0</v>
      </c>
      <c r="F128" s="15">
        <f t="shared" ca="1" si="42"/>
        <v>8552.76</v>
      </c>
      <c r="G128" s="22">
        <f t="shared" ca="1" si="43"/>
        <v>0</v>
      </c>
      <c r="H128" s="15">
        <f>SUMIFS(Monatsexporte[Saldo],Monatsexporte[Jahr],$B$4,Monatsexporte[Monat],1,Monatsexporte[Konto],B128)</f>
        <v>0</v>
      </c>
      <c r="I128" s="15">
        <f>SUMIFS(Monatsexporte[Saldo],Monatsexporte[Jahr],$B$5,Monatsexporte[Monat],1,Monatsexporte[Konto],B128)</f>
        <v>0</v>
      </c>
      <c r="J128" s="22">
        <f t="shared" si="44"/>
        <v>0</v>
      </c>
      <c r="K128" s="15">
        <f>SUMIFS(Monatsexporte[Saldo],Monatsexporte[Jahr],$B$4,Monatsexporte[Monat],2,Monatsexporte[Konto],B128)</f>
        <v>0</v>
      </c>
      <c r="L128" s="15">
        <f>SUMIFS(Monatsexporte[Saldo],Monatsexporte[Jahr],$B$5,Monatsexporte[Monat],2,Monatsexporte[Konto],B128)</f>
        <v>0</v>
      </c>
      <c r="M128" s="22">
        <f t="shared" si="45"/>
        <v>0</v>
      </c>
      <c r="N128" s="15">
        <f>SUMIFS(Monatsexporte[Saldo],Monatsexporte[Jahr],$B$4,Monatsexporte[Monat],3,Monatsexporte[Konto],B128)</f>
        <v>2850.92</v>
      </c>
      <c r="O128" s="15">
        <f>SUMIFS(Monatsexporte[Saldo],Monatsexporte[Jahr],$B$5,Monatsexporte[Monat],3,Monatsexporte[Konto],B128)</f>
        <v>0</v>
      </c>
      <c r="P128" s="22">
        <f t="shared" si="46"/>
        <v>0</v>
      </c>
      <c r="Q128" s="15">
        <f>SUMIFS(Monatsexporte[Saldo],Monatsexporte[Jahr],$B$4,Monatsexporte[Monat],4,Monatsexporte[Konto],B128)</f>
        <v>2850.92</v>
      </c>
      <c r="R128" s="15">
        <f>SUMIFS(Monatsexporte[Saldo],Monatsexporte[Jahr],$B$5,Monatsexporte[Monat],4,Monatsexporte[Konto],B128)</f>
        <v>0</v>
      </c>
      <c r="S128" s="22">
        <f t="shared" si="47"/>
        <v>0</v>
      </c>
      <c r="T128" s="15">
        <f>SUMIFS(Monatsexporte[Saldo],Monatsexporte[Jahr],$B$4,Monatsexporte[Monat],5,Monatsexporte[Konto],B128)</f>
        <v>2850.92</v>
      </c>
      <c r="U128" s="15">
        <f>SUMIFS(Monatsexporte[Saldo],Monatsexporte[Jahr],$B$5,Monatsexporte[Monat],5,Monatsexporte[Konto],B128)</f>
        <v>0</v>
      </c>
      <c r="V128" s="22">
        <f t="shared" si="48"/>
        <v>0</v>
      </c>
      <c r="W128" s="15">
        <f>SUMIFS(Monatsexporte[Saldo],Monatsexporte[Jahr],$B$4,Monatsexporte[Monat],6,Monatsexporte[Konto],B128)</f>
        <v>0</v>
      </c>
      <c r="X128" s="15">
        <f>SUMIFS(Monatsexporte[Saldo],Monatsexporte[Jahr],$B$5,Monatsexporte[Monat],6,Monatsexporte[Konto],B128)</f>
        <v>0</v>
      </c>
      <c r="Y128" s="22">
        <f t="shared" si="49"/>
        <v>0</v>
      </c>
      <c r="Z128" s="15">
        <f>SUMIFS(Monatsexporte[Saldo],Monatsexporte[Jahr],$B$4,Monatsexporte[Monat],7,Monatsexporte[Konto],B128)</f>
        <v>0</v>
      </c>
      <c r="AA128" s="15">
        <f>SUMIFS(Monatsexporte[Saldo],Monatsexporte[Jahr],$B$5,Monatsexporte[Monat],7,Monatsexporte[Konto],B128)</f>
        <v>0</v>
      </c>
      <c r="AB128" s="22">
        <f t="shared" si="50"/>
        <v>0</v>
      </c>
      <c r="AC128" s="15">
        <f>SUMIFS(Monatsexporte[Saldo],Monatsexporte[Jahr],$B$4,Monatsexporte[Monat],8,Monatsexporte[Konto],B128)</f>
        <v>0</v>
      </c>
      <c r="AD128" s="15">
        <f>SUMIFS(Monatsexporte[Saldo],Monatsexporte[Jahr],$B$5,Monatsexporte[Monat],8,Monatsexporte[Konto],B128)</f>
        <v>0</v>
      </c>
      <c r="AE128" s="22">
        <f t="shared" si="51"/>
        <v>0</v>
      </c>
      <c r="AF128" s="15">
        <f>SUMIFS(Monatsexporte[Saldo],Monatsexporte[Jahr],$B$4,Monatsexporte[Monat],9,Monatsexporte[Konto],B128)</f>
        <v>0</v>
      </c>
      <c r="AG128" s="15">
        <f>SUMIFS(Monatsexporte[Saldo],Monatsexporte[Jahr],$B$5,Monatsexporte[Monat],9,Monatsexporte[Konto],B128)</f>
        <v>0</v>
      </c>
      <c r="AH128" s="22">
        <f t="shared" si="52"/>
        <v>0</v>
      </c>
      <c r="AI128" s="15">
        <f>SUMIFS(Monatsexporte[Saldo],Monatsexporte[Jahr],$B$4,Monatsexporte[Monat],10,Monatsexporte[Konto],B128)</f>
        <v>0</v>
      </c>
      <c r="AJ128" s="15">
        <f>SUMIFS(Monatsexporte[Saldo],Monatsexporte[Jahr],$B$5,Monatsexporte[Monat],10,Monatsexporte[Konto],B128)</f>
        <v>0</v>
      </c>
      <c r="AK128" s="22">
        <f t="shared" si="53"/>
        <v>0</v>
      </c>
      <c r="AL128" s="15">
        <f>SUMIFS(Monatsexporte[Saldo],Monatsexporte[Jahr],$B$4,Monatsexporte[Monat],11,Monatsexporte[Konto],B128)</f>
        <v>0</v>
      </c>
      <c r="AM128" s="15">
        <f>SUMIFS(Monatsexporte[Saldo],Monatsexporte[Jahr],$B$5,Monatsexporte[Monat],11,Monatsexporte[Konto],B128)</f>
        <v>0</v>
      </c>
      <c r="AN128" s="22">
        <f t="shared" si="54"/>
        <v>0</v>
      </c>
      <c r="AO128" s="15">
        <f>SUMIFS(Monatsexporte[Saldo],Monatsexporte[Jahr],$B$4,Monatsexporte[Monat],12,Monatsexporte[Konto],B128)</f>
        <v>0</v>
      </c>
      <c r="AP128" s="15">
        <f>SUMIFS(Monatsexporte[Saldo],Monatsexporte[Jahr],$B$5,Monatsexporte[Monat],12,Monatsexporte[Konto],B128)</f>
        <v>0</v>
      </c>
      <c r="AQ128" s="22">
        <f t="shared" si="55"/>
        <v>0</v>
      </c>
    </row>
    <row r="129" spans="1:43" x14ac:dyDescent="0.45">
      <c r="A129" s="1" t="s">
        <v>506</v>
      </c>
      <c r="B129" s="39" t="s">
        <v>507</v>
      </c>
      <c r="C129" s="15">
        <f>SUM(C115:C128)</f>
        <v>304742</v>
      </c>
      <c r="D129" s="15">
        <f ca="1">SUM(D115:D128)</f>
        <v>914223.27</v>
      </c>
      <c r="E129" s="15">
        <f ca="1">SUM(E115:E128)</f>
        <v>0</v>
      </c>
      <c r="F129" s="15">
        <f t="shared" ca="1" si="42"/>
        <v>914223.27</v>
      </c>
      <c r="G129" s="22">
        <f t="shared" ca="1" si="43"/>
        <v>0</v>
      </c>
      <c r="H129" s="15">
        <f>SUM(H115:H128)</f>
        <v>0</v>
      </c>
      <c r="I129" s="15">
        <f>SUM(I115:I128)</f>
        <v>0</v>
      </c>
      <c r="J129" s="22">
        <f t="shared" si="44"/>
        <v>0</v>
      </c>
      <c r="K129" s="15">
        <f>SUM(K115:K128)</f>
        <v>0</v>
      </c>
      <c r="L129" s="15">
        <f>SUM(L115:L128)</f>
        <v>0</v>
      </c>
      <c r="M129" s="22">
        <f t="shared" si="45"/>
        <v>0</v>
      </c>
      <c r="N129" s="15">
        <f>SUM(N115:N128)</f>
        <v>304741.08999999997</v>
      </c>
      <c r="O129" s="15">
        <f>SUM(O115:O128)</f>
        <v>0</v>
      </c>
      <c r="P129" s="22">
        <f t="shared" si="46"/>
        <v>0</v>
      </c>
      <c r="Q129" s="15">
        <f>SUM(Q115:Q128)</f>
        <v>304741.08999999997</v>
      </c>
      <c r="R129" s="15">
        <f>SUM(R115:R128)</f>
        <v>0</v>
      </c>
      <c r="S129" s="22">
        <f t="shared" si="47"/>
        <v>0</v>
      </c>
      <c r="T129" s="15">
        <f>SUM(T115:T128)</f>
        <v>304741.08999999997</v>
      </c>
      <c r="U129" s="15">
        <f>SUM(U115:U128)</f>
        <v>0</v>
      </c>
      <c r="V129" s="22">
        <f t="shared" si="48"/>
        <v>0</v>
      </c>
      <c r="W129" s="15">
        <f>SUM(W115:W128)</f>
        <v>0</v>
      </c>
      <c r="X129" s="15">
        <f>SUM(X115:X128)</f>
        <v>0</v>
      </c>
      <c r="Y129" s="22">
        <f t="shared" si="49"/>
        <v>0</v>
      </c>
      <c r="Z129" s="15">
        <f>SUM(Z115:Z128)</f>
        <v>0</v>
      </c>
      <c r="AA129" s="15">
        <f>SUM(AA115:AA128)</f>
        <v>0</v>
      </c>
      <c r="AB129" s="22">
        <f t="shared" si="50"/>
        <v>0</v>
      </c>
      <c r="AC129" s="15">
        <f>SUM(AC115:AC128)</f>
        <v>0</v>
      </c>
      <c r="AD129" s="15">
        <f>SUM(AD115:AD128)</f>
        <v>0</v>
      </c>
      <c r="AE129" s="22">
        <f t="shared" si="51"/>
        <v>0</v>
      </c>
      <c r="AF129" s="15">
        <f>SUM(AF115:AF128)</f>
        <v>0</v>
      </c>
      <c r="AG129" s="15">
        <f>SUM(AG115:AG128)</f>
        <v>0</v>
      </c>
      <c r="AH129" s="22">
        <f t="shared" si="52"/>
        <v>0</v>
      </c>
      <c r="AI129" s="15">
        <f>SUM(AI115:AI128)</f>
        <v>0</v>
      </c>
      <c r="AJ129" s="15">
        <f>SUM(AJ115:AJ128)</f>
        <v>0</v>
      </c>
      <c r="AK129" s="22">
        <f t="shared" si="53"/>
        <v>0</v>
      </c>
      <c r="AL129" s="15">
        <f>SUM(AL115:AL128)</f>
        <v>0</v>
      </c>
      <c r="AM129" s="15">
        <f>SUM(AM115:AM128)</f>
        <v>0</v>
      </c>
      <c r="AN129" s="22">
        <f t="shared" si="54"/>
        <v>0</v>
      </c>
      <c r="AO129" s="15">
        <f>SUM(AO115:AO128)</f>
        <v>0</v>
      </c>
      <c r="AP129" s="15">
        <f>SUM(AP115:AP128)</f>
        <v>0</v>
      </c>
      <c r="AQ129" s="22">
        <f t="shared" si="55"/>
        <v>0</v>
      </c>
    </row>
    <row r="130" spans="1:43" x14ac:dyDescent="0.45">
      <c r="A130" s="1" t="s">
        <v>522</v>
      </c>
      <c r="B130" s="40"/>
      <c r="C130" s="16">
        <f>C86+C102+C114+C129</f>
        <v>685577</v>
      </c>
      <c r="D130" s="16">
        <f ca="1">D86+D102+D114+D129</f>
        <v>2056731.9000000001</v>
      </c>
      <c r="E130" s="16">
        <f ca="1">E86+E102+E114+E129</f>
        <v>0</v>
      </c>
      <c r="F130" s="16">
        <f t="shared" ca="1" si="42"/>
        <v>2056731.9000000001</v>
      </c>
      <c r="G130" s="23">
        <f t="shared" ca="1" si="43"/>
        <v>0</v>
      </c>
      <c r="H130" s="15">
        <f>H86+H102+H114+H129</f>
        <v>0</v>
      </c>
      <c r="I130" s="15">
        <f>I86+I102+I114+I129</f>
        <v>0</v>
      </c>
      <c r="J130" s="22">
        <f t="shared" si="44"/>
        <v>0</v>
      </c>
      <c r="K130" s="15">
        <f>K86+K102+K114+K129</f>
        <v>0</v>
      </c>
      <c r="L130" s="15">
        <f>L86+L102+L114+L129</f>
        <v>0</v>
      </c>
      <c r="M130" s="22">
        <f t="shared" si="45"/>
        <v>0</v>
      </c>
      <c r="N130" s="15">
        <f>N86+N102+N114+N129</f>
        <v>685577.3</v>
      </c>
      <c r="O130" s="15">
        <f>O86+O102+O114+O129</f>
        <v>0</v>
      </c>
      <c r="P130" s="22">
        <f t="shared" si="46"/>
        <v>0</v>
      </c>
      <c r="Q130" s="15">
        <f>Q86+Q102+Q114+Q129</f>
        <v>685577.3</v>
      </c>
      <c r="R130" s="15">
        <f>R86+R102+R114+R129</f>
        <v>0</v>
      </c>
      <c r="S130" s="22">
        <f t="shared" si="47"/>
        <v>0</v>
      </c>
      <c r="T130" s="15">
        <f>T86+T102+T114+T129</f>
        <v>685577.3</v>
      </c>
      <c r="U130" s="15">
        <f>U86+U102+U114+U129</f>
        <v>0</v>
      </c>
      <c r="V130" s="22">
        <f t="shared" si="48"/>
        <v>0</v>
      </c>
      <c r="W130" s="15">
        <f>W86+W102+W114+W129</f>
        <v>0</v>
      </c>
      <c r="X130" s="15">
        <f>X86+X102+X114+X129</f>
        <v>0</v>
      </c>
      <c r="Y130" s="22">
        <f t="shared" si="49"/>
        <v>0</v>
      </c>
      <c r="Z130" s="15">
        <f>Z86+Z102+Z114+Z129</f>
        <v>0</v>
      </c>
      <c r="AA130" s="15">
        <f>AA86+AA102+AA114+AA129</f>
        <v>0</v>
      </c>
      <c r="AB130" s="22">
        <f t="shared" si="50"/>
        <v>0</v>
      </c>
      <c r="AC130" s="15">
        <f>AC86+AC102+AC114+AC129</f>
        <v>0</v>
      </c>
      <c r="AD130" s="15">
        <f>AD86+AD102+AD114+AD129</f>
        <v>0</v>
      </c>
      <c r="AE130" s="22">
        <f t="shared" si="51"/>
        <v>0</v>
      </c>
      <c r="AF130" s="15">
        <f>AF86+AF102+AF114+AF129</f>
        <v>0</v>
      </c>
      <c r="AG130" s="15">
        <f>AG86+AG102+AG114+AG129</f>
        <v>0</v>
      </c>
      <c r="AH130" s="22">
        <f t="shared" si="52"/>
        <v>0</v>
      </c>
      <c r="AI130" s="15">
        <f>AI86+AI102+AI114+AI129</f>
        <v>0</v>
      </c>
      <c r="AJ130" s="15">
        <f>AJ86+AJ102+AJ114+AJ129</f>
        <v>0</v>
      </c>
      <c r="AK130" s="22">
        <f t="shared" si="53"/>
        <v>0</v>
      </c>
      <c r="AL130" s="15">
        <f>AL86+AL102+AL114+AL129</f>
        <v>0</v>
      </c>
      <c r="AM130" s="15">
        <f>AM86+AM102+AM114+AM129</f>
        <v>0</v>
      </c>
      <c r="AN130" s="22">
        <f t="shared" si="54"/>
        <v>0</v>
      </c>
      <c r="AO130" s="15">
        <f>AO86+AO102+AO114+AO129</f>
        <v>0</v>
      </c>
      <c r="AP130" s="15">
        <f>AP86+AP102+AP114+AP129</f>
        <v>0</v>
      </c>
      <c r="AQ130" s="22">
        <f t="shared" si="55"/>
        <v>0</v>
      </c>
    </row>
    <row r="131" spans="1:43" x14ac:dyDescent="0.45">
      <c r="C131" s="15"/>
      <c r="D131" s="15"/>
      <c r="E131" s="15"/>
      <c r="F131" s="15"/>
      <c r="G131" s="22"/>
      <c r="H131" s="15"/>
      <c r="I131" s="15"/>
      <c r="J131" s="22"/>
      <c r="K131" s="15"/>
      <c r="L131" s="15"/>
      <c r="M131" s="22"/>
      <c r="N131" s="15"/>
      <c r="O131" s="15"/>
      <c r="P131" s="22"/>
      <c r="Q131" s="15"/>
      <c r="R131" s="15"/>
      <c r="S131" s="22"/>
      <c r="T131" s="15"/>
      <c r="U131" s="15"/>
      <c r="V131" s="22"/>
      <c r="W131" s="15"/>
      <c r="X131" s="15"/>
      <c r="Y131" s="22"/>
      <c r="Z131" s="15"/>
      <c r="AA131" s="15"/>
      <c r="AB131" s="22"/>
      <c r="AC131" s="15"/>
      <c r="AD131" s="15"/>
      <c r="AE131" s="22"/>
      <c r="AF131" s="15"/>
      <c r="AG131" s="15"/>
      <c r="AH131" s="22"/>
      <c r="AI131" s="15"/>
      <c r="AJ131" s="15"/>
      <c r="AK131" s="22"/>
      <c r="AL131" s="15"/>
      <c r="AM131" s="15"/>
      <c r="AN131" s="22"/>
      <c r="AO131" s="15"/>
      <c r="AP131" s="15"/>
      <c r="AQ131" s="22"/>
    </row>
    <row r="132" spans="1:43" x14ac:dyDescent="0.45">
      <c r="A132" s="13" t="s">
        <v>523</v>
      </c>
      <c r="B132" s="47"/>
      <c r="C132" s="19">
        <f>C67-C130</f>
        <v>22049</v>
      </c>
      <c r="D132" s="19">
        <f ca="1">D67-D130</f>
        <v>66138.990000000456</v>
      </c>
      <c r="E132" s="19">
        <f ca="1">E67-E130</f>
        <v>0</v>
      </c>
      <c r="F132" s="19">
        <f ca="1">D132-E132</f>
        <v>66138.990000000456</v>
      </c>
      <c r="G132" s="26">
        <f ca="1">IF(E132=0,0,D132/E132-1)</f>
        <v>0</v>
      </c>
      <c r="H132" s="29">
        <f>H67-H130</f>
        <v>0</v>
      </c>
      <c r="I132" s="29">
        <f>I67-I130</f>
        <v>0</v>
      </c>
      <c r="J132" s="32">
        <f>IF(I132=0,0,H132/I132-1)</f>
        <v>0</v>
      </c>
      <c r="K132" s="29">
        <f>K67-K130</f>
        <v>0</v>
      </c>
      <c r="L132" s="29">
        <f>L67-L130</f>
        <v>0</v>
      </c>
      <c r="M132" s="32">
        <f>IF(L132=0,0,K132/L132-1)</f>
        <v>0</v>
      </c>
      <c r="N132" s="29">
        <f>N67-N130</f>
        <v>22046.330000000191</v>
      </c>
      <c r="O132" s="29">
        <f>O67-O130</f>
        <v>0</v>
      </c>
      <c r="P132" s="32">
        <f>IF(O132=0,0,N132/O132-1)</f>
        <v>0</v>
      </c>
      <c r="Q132" s="29">
        <f>Q67-Q130</f>
        <v>22046.330000000191</v>
      </c>
      <c r="R132" s="29">
        <f>R67-R130</f>
        <v>0</v>
      </c>
      <c r="S132" s="32">
        <f>IF(R132=0,0,Q132/R132-1)</f>
        <v>0</v>
      </c>
      <c r="T132" s="29">
        <f>T67-T130</f>
        <v>22046.330000000191</v>
      </c>
      <c r="U132" s="29">
        <f>U67-U130</f>
        <v>0</v>
      </c>
      <c r="V132" s="32">
        <f>IF(U132=0,0,T132/U132-1)</f>
        <v>0</v>
      </c>
      <c r="W132" s="29">
        <f>W67-W130</f>
        <v>0</v>
      </c>
      <c r="X132" s="29">
        <f>X67-X130</f>
        <v>0</v>
      </c>
      <c r="Y132" s="32">
        <f>IF(X132=0,0,W132/X132-1)</f>
        <v>0</v>
      </c>
      <c r="Z132" s="29">
        <f>Z67-Z130</f>
        <v>0</v>
      </c>
      <c r="AA132" s="29">
        <f>AA67-AA130</f>
        <v>0</v>
      </c>
      <c r="AB132" s="32">
        <f>IF(AA132=0,0,Z132/AA132-1)</f>
        <v>0</v>
      </c>
      <c r="AC132" s="29">
        <f>AC67-AC130</f>
        <v>0</v>
      </c>
      <c r="AD132" s="29">
        <f>AD67-AD130</f>
        <v>0</v>
      </c>
      <c r="AE132" s="32">
        <f>IF(AD132=0,0,AC132/AD132-1)</f>
        <v>0</v>
      </c>
      <c r="AF132" s="29">
        <f>AF67-AF130</f>
        <v>0</v>
      </c>
      <c r="AG132" s="29">
        <f>AG67-AG130</f>
        <v>0</v>
      </c>
      <c r="AH132" s="32">
        <f>IF(AG132=0,0,AF132/AG132-1)</f>
        <v>0</v>
      </c>
      <c r="AI132" s="29">
        <f>AI67-AI130</f>
        <v>0</v>
      </c>
      <c r="AJ132" s="29">
        <f>AJ67-AJ130</f>
        <v>0</v>
      </c>
      <c r="AK132" s="32">
        <f>IF(AJ132=0,0,AI132/AJ132-1)</f>
        <v>0</v>
      </c>
      <c r="AL132" s="29">
        <f>AL67-AL130</f>
        <v>0</v>
      </c>
      <c r="AM132" s="29">
        <f>AM67-AM130</f>
        <v>0</v>
      </c>
      <c r="AN132" s="32">
        <f>IF(AM132=0,0,AL132/AM132-1)</f>
        <v>0</v>
      </c>
      <c r="AO132" s="29">
        <f>AO67-AO130</f>
        <v>0</v>
      </c>
      <c r="AP132" s="29">
        <f>AP67-AP130</f>
        <v>0</v>
      </c>
      <c r="AQ132" s="32">
        <f>IF(AP132=0,0,AO132/AP132-1)</f>
        <v>0</v>
      </c>
    </row>
    <row r="133" spans="1:43" x14ac:dyDescent="0.45">
      <c r="C133" s="15"/>
      <c r="D133" s="15"/>
      <c r="E133" s="15"/>
      <c r="F133" s="15"/>
      <c r="G133" s="22"/>
      <c r="H133" s="15"/>
      <c r="I133" s="15"/>
      <c r="J133" s="22"/>
      <c r="K133" s="15"/>
      <c r="L133" s="15"/>
      <c r="M133" s="22"/>
      <c r="N133" s="15"/>
      <c r="O133" s="15"/>
      <c r="P133" s="22"/>
      <c r="Q133" s="15"/>
      <c r="R133" s="15"/>
      <c r="S133" s="22"/>
      <c r="T133" s="15"/>
      <c r="U133" s="15"/>
      <c r="V133" s="22"/>
      <c r="W133" s="15"/>
      <c r="X133" s="15"/>
      <c r="Y133" s="22"/>
      <c r="Z133" s="15"/>
      <c r="AA133" s="15"/>
      <c r="AB133" s="22"/>
      <c r="AC133" s="15"/>
      <c r="AD133" s="15"/>
      <c r="AE133" s="22"/>
      <c r="AF133" s="15"/>
      <c r="AG133" s="15"/>
      <c r="AH133" s="22"/>
      <c r="AI133" s="15"/>
      <c r="AJ133" s="15"/>
      <c r="AK133" s="22"/>
      <c r="AL133" s="15"/>
      <c r="AM133" s="15"/>
      <c r="AN133" s="22"/>
      <c r="AO133" s="15"/>
      <c r="AP133" s="15"/>
      <c r="AQ133" s="22"/>
    </row>
    <row r="134" spans="1:43" hidden="1" outlineLevel="1" x14ac:dyDescent="0.45">
      <c r="A134" s="10" t="s">
        <v>526</v>
      </c>
      <c r="B134" s="39">
        <v>720151015</v>
      </c>
      <c r="C134" s="15">
        <v>2467</v>
      </c>
      <c r="D134" s="15">
        <f ca="1">SUMIFS(Monatsexporte[Saldo],Monatsexporte[Jahr],$B$4,Monatsexporte[Monat],"&lt;="&amp;$B$8,Monatsexporte[Konto],B134)</f>
        <v>7402.0499999999993</v>
      </c>
      <c r="E134" s="15">
        <f ca="1">SUMIFS(Monatsexporte[Saldo],Monatsexporte[Jahr],$B$5,Monatsexporte[Monat],"&lt;="&amp;$B$8,Monatsexporte[Konto],B134)</f>
        <v>0</v>
      </c>
      <c r="F134" s="15">
        <f ca="1">D134-E134</f>
        <v>7402.0499999999993</v>
      </c>
      <c r="G134" s="22">
        <f ca="1">IF(E134=0,0,D134/E134-1)</f>
        <v>0</v>
      </c>
      <c r="H134" s="15">
        <f>SUMIFS(Monatsexporte[Saldo],Monatsexporte[Jahr],$B$4,Monatsexporte[Monat],1,Monatsexporte[Konto],B134)</f>
        <v>0</v>
      </c>
      <c r="I134" s="15">
        <f>SUMIFS(Monatsexporte[Saldo],Monatsexporte[Jahr],$B$5,Monatsexporte[Monat],1,Monatsexporte[Konto],B134)</f>
        <v>0</v>
      </c>
      <c r="J134" s="22">
        <f>IF(I134=0,0,H134/I134-1)</f>
        <v>0</v>
      </c>
      <c r="K134" s="15">
        <f>SUMIFS(Monatsexporte[Saldo],Monatsexporte[Jahr],$B$4,Monatsexporte[Monat],2,Monatsexporte[Konto],B134)</f>
        <v>0</v>
      </c>
      <c r="L134" s="15">
        <f>SUMIFS(Monatsexporte[Saldo],Monatsexporte[Jahr],$B$5,Monatsexporte[Monat],2,Monatsexporte[Konto],B134)</f>
        <v>0</v>
      </c>
      <c r="M134" s="22">
        <f>IF(L134=0,0,K134/L134-1)</f>
        <v>0</v>
      </c>
      <c r="N134" s="15">
        <f>SUMIFS(Monatsexporte[Saldo],Monatsexporte[Jahr],$B$4,Monatsexporte[Monat],3,Monatsexporte[Konto],B134)</f>
        <v>2467.35</v>
      </c>
      <c r="O134" s="15">
        <f>SUMIFS(Monatsexporte[Saldo],Monatsexporte[Jahr],$B$5,Monatsexporte[Monat],3,Monatsexporte[Konto],B134)</f>
        <v>0</v>
      </c>
      <c r="P134" s="22">
        <f>IF(O134=0,0,N134/O134-1)</f>
        <v>0</v>
      </c>
      <c r="Q134" s="15">
        <f>SUMIFS(Monatsexporte[Saldo],Monatsexporte[Jahr],$B$4,Monatsexporte[Monat],4,Monatsexporte[Konto],B134)</f>
        <v>2467.35</v>
      </c>
      <c r="R134" s="15">
        <f>SUMIFS(Monatsexporte[Saldo],Monatsexporte[Jahr],$B$5,Monatsexporte[Monat],4,Monatsexporte[Konto],B134)</f>
        <v>0</v>
      </c>
      <c r="S134" s="22">
        <f>IF(R134=0,0,Q134/R134-1)</f>
        <v>0</v>
      </c>
      <c r="T134" s="15">
        <f>SUMIFS(Monatsexporte[Saldo],Monatsexporte[Jahr],$B$4,Monatsexporte[Monat],5,Monatsexporte[Konto],B134)</f>
        <v>2467.35</v>
      </c>
      <c r="U134" s="15">
        <f>SUMIFS(Monatsexporte[Saldo],Monatsexporte[Jahr],$B$5,Monatsexporte[Monat],5,Monatsexporte[Konto],B134)</f>
        <v>0</v>
      </c>
      <c r="V134" s="22">
        <f>IF(U134=0,0,T134/U134-1)</f>
        <v>0</v>
      </c>
      <c r="W134" s="15">
        <f>SUMIFS(Monatsexporte[Saldo],Monatsexporte[Jahr],$B$4,Monatsexporte[Monat],6,Monatsexporte[Konto],B134)</f>
        <v>0</v>
      </c>
      <c r="X134" s="15">
        <f>SUMIFS(Monatsexporte[Saldo],Monatsexporte[Jahr],$B$5,Monatsexporte[Monat],6,Monatsexporte[Konto],B134)</f>
        <v>0</v>
      </c>
      <c r="Y134" s="22">
        <f>IF(X134=0,0,W134/X134-1)</f>
        <v>0</v>
      </c>
      <c r="Z134" s="15">
        <f>SUMIFS(Monatsexporte[Saldo],Monatsexporte[Jahr],$B$4,Monatsexporte[Monat],7,Monatsexporte[Konto],B134)</f>
        <v>0</v>
      </c>
      <c r="AA134" s="15">
        <f>SUMIFS(Monatsexporte[Saldo],Monatsexporte[Jahr],$B$5,Monatsexporte[Monat],7,Monatsexporte[Konto],B134)</f>
        <v>0</v>
      </c>
      <c r="AB134" s="22">
        <f>IF(AA134=0,0,Z134/AA134-1)</f>
        <v>0</v>
      </c>
      <c r="AC134" s="15">
        <f>SUMIFS(Monatsexporte[Saldo],Monatsexporte[Jahr],$B$4,Monatsexporte[Monat],8,Monatsexporte[Konto],B134)</f>
        <v>0</v>
      </c>
      <c r="AD134" s="15">
        <f>SUMIFS(Monatsexporte[Saldo],Monatsexporte[Jahr],$B$5,Monatsexporte[Monat],8,Monatsexporte[Konto],B134)</f>
        <v>0</v>
      </c>
      <c r="AE134" s="22">
        <f>IF(AD134=0,0,AC134/AD134-1)</f>
        <v>0</v>
      </c>
      <c r="AF134" s="15">
        <f>SUMIFS(Monatsexporte[Saldo],Monatsexporte[Jahr],$B$4,Monatsexporte[Monat],9,Monatsexporte[Konto],B134)</f>
        <v>0</v>
      </c>
      <c r="AG134" s="15">
        <f>SUMIFS(Monatsexporte[Saldo],Monatsexporte[Jahr],$B$5,Monatsexporte[Monat],9,Monatsexporte[Konto],B134)</f>
        <v>0</v>
      </c>
      <c r="AH134" s="22">
        <f>IF(AG134=0,0,AF134/AG134-1)</f>
        <v>0</v>
      </c>
      <c r="AI134" s="15">
        <f>SUMIFS(Monatsexporte[Saldo],Monatsexporte[Jahr],$B$4,Monatsexporte[Monat],10,Monatsexporte[Konto],B134)</f>
        <v>0</v>
      </c>
      <c r="AJ134" s="15">
        <f>SUMIFS(Monatsexporte[Saldo],Monatsexporte[Jahr],$B$5,Monatsexporte[Monat],10,Monatsexporte[Konto],B134)</f>
        <v>0</v>
      </c>
      <c r="AK134" s="22">
        <f>IF(AJ134=0,0,AI134/AJ134-1)</f>
        <v>0</v>
      </c>
      <c r="AL134" s="15">
        <f>SUMIFS(Monatsexporte[Saldo],Monatsexporte[Jahr],$B$4,Monatsexporte[Monat],11,Monatsexporte[Konto],B134)</f>
        <v>0</v>
      </c>
      <c r="AM134" s="15">
        <f>SUMIFS(Monatsexporte[Saldo],Monatsexporte[Jahr],$B$5,Monatsexporte[Monat],11,Monatsexporte[Konto],B134)</f>
        <v>0</v>
      </c>
      <c r="AN134" s="22">
        <f>IF(AM134=0,0,AL134/AM134-1)</f>
        <v>0</v>
      </c>
      <c r="AO134" s="15">
        <f>SUMIFS(Monatsexporte[Saldo],Monatsexporte[Jahr],$B$4,Monatsexporte[Monat],12,Monatsexporte[Konto],B134)</f>
        <v>0</v>
      </c>
      <c r="AP134" s="15">
        <f>SUMIFS(Monatsexporte[Saldo],Monatsexporte[Jahr],$B$5,Monatsexporte[Monat],12,Monatsexporte[Konto],B134)</f>
        <v>0</v>
      </c>
      <c r="AQ134" s="22">
        <f>IF(AP134=0,0,AO134/AP134-1)</f>
        <v>0</v>
      </c>
    </row>
    <row r="135" spans="1:43" hidden="1" outlineLevel="1" x14ac:dyDescent="0.45">
      <c r="A135" s="10" t="s">
        <v>527</v>
      </c>
      <c r="B135" s="39">
        <v>720151025</v>
      </c>
      <c r="C135" s="15">
        <v>12019</v>
      </c>
      <c r="D135" s="15">
        <f ca="1">SUMIFS(Monatsexporte[Saldo],Monatsexporte[Jahr],$B$4,Monatsexporte[Monat],"&lt;="&amp;$B$8,Monatsexporte[Konto],B135)</f>
        <v>36056.550000000003</v>
      </c>
      <c r="E135" s="15">
        <f ca="1">SUMIFS(Monatsexporte[Saldo],Monatsexporte[Jahr],$B$5,Monatsexporte[Monat],"&lt;="&amp;$B$8,Monatsexporte[Konto],B135)</f>
        <v>0</v>
      </c>
      <c r="F135" s="15">
        <f ca="1">D135-E135</f>
        <v>36056.550000000003</v>
      </c>
      <c r="G135" s="22">
        <f ca="1">IF(E135=0,0,D135/E135-1)</f>
        <v>0</v>
      </c>
      <c r="H135" s="15">
        <f>SUMIFS(Monatsexporte[Saldo],Monatsexporte[Jahr],$B$4,Monatsexporte[Monat],1,Monatsexporte[Konto],B135)</f>
        <v>0</v>
      </c>
      <c r="I135" s="15">
        <f>SUMIFS(Monatsexporte[Saldo],Monatsexporte[Jahr],$B$5,Monatsexporte[Monat],1,Monatsexporte[Konto],B135)</f>
        <v>0</v>
      </c>
      <c r="J135" s="22">
        <f>IF(I135=0,0,H135/I135-1)</f>
        <v>0</v>
      </c>
      <c r="K135" s="15">
        <f>SUMIFS(Monatsexporte[Saldo],Monatsexporte[Jahr],$B$4,Monatsexporte[Monat],2,Monatsexporte[Konto],B135)</f>
        <v>0</v>
      </c>
      <c r="L135" s="15">
        <f>SUMIFS(Monatsexporte[Saldo],Monatsexporte[Jahr],$B$5,Monatsexporte[Monat],2,Monatsexporte[Konto],B135)</f>
        <v>0</v>
      </c>
      <c r="M135" s="22">
        <f>IF(L135=0,0,K135/L135-1)</f>
        <v>0</v>
      </c>
      <c r="N135" s="15">
        <f>SUMIFS(Monatsexporte[Saldo],Monatsexporte[Jahr],$B$4,Monatsexporte[Monat],3,Monatsexporte[Konto],B135)</f>
        <v>12018.85</v>
      </c>
      <c r="O135" s="15">
        <f>SUMIFS(Monatsexporte[Saldo],Monatsexporte[Jahr],$B$5,Monatsexporte[Monat],3,Monatsexporte[Konto],B135)</f>
        <v>0</v>
      </c>
      <c r="P135" s="22">
        <f>IF(O135=0,0,N135/O135-1)</f>
        <v>0</v>
      </c>
      <c r="Q135" s="15">
        <f>SUMIFS(Monatsexporte[Saldo],Monatsexporte[Jahr],$B$4,Monatsexporte[Monat],4,Monatsexporte[Konto],B135)</f>
        <v>12018.85</v>
      </c>
      <c r="R135" s="15">
        <f>SUMIFS(Monatsexporte[Saldo],Monatsexporte[Jahr],$B$5,Monatsexporte[Monat],4,Monatsexporte[Konto],B135)</f>
        <v>0</v>
      </c>
      <c r="S135" s="22">
        <f>IF(R135=0,0,Q135/R135-1)</f>
        <v>0</v>
      </c>
      <c r="T135" s="15">
        <f>SUMIFS(Monatsexporte[Saldo],Monatsexporte[Jahr],$B$4,Monatsexporte[Monat],5,Monatsexporte[Konto],B135)</f>
        <v>12018.85</v>
      </c>
      <c r="U135" s="15">
        <f>SUMIFS(Monatsexporte[Saldo],Monatsexporte[Jahr],$B$5,Monatsexporte[Monat],5,Monatsexporte[Konto],B135)</f>
        <v>0</v>
      </c>
      <c r="V135" s="22">
        <f>IF(U135=0,0,T135/U135-1)</f>
        <v>0</v>
      </c>
      <c r="W135" s="15">
        <f>SUMIFS(Monatsexporte[Saldo],Monatsexporte[Jahr],$B$4,Monatsexporte[Monat],6,Monatsexporte[Konto],B135)</f>
        <v>0</v>
      </c>
      <c r="X135" s="15">
        <f>SUMIFS(Monatsexporte[Saldo],Monatsexporte[Jahr],$B$5,Monatsexporte[Monat],6,Monatsexporte[Konto],B135)</f>
        <v>0</v>
      </c>
      <c r="Y135" s="22">
        <f>IF(X135=0,0,W135/X135-1)</f>
        <v>0</v>
      </c>
      <c r="Z135" s="15">
        <f>SUMIFS(Monatsexporte[Saldo],Monatsexporte[Jahr],$B$4,Monatsexporte[Monat],7,Monatsexporte[Konto],B135)</f>
        <v>0</v>
      </c>
      <c r="AA135" s="15">
        <f>SUMIFS(Monatsexporte[Saldo],Monatsexporte[Jahr],$B$5,Monatsexporte[Monat],7,Monatsexporte[Konto],B135)</f>
        <v>0</v>
      </c>
      <c r="AB135" s="22">
        <f>IF(AA135=0,0,Z135/AA135-1)</f>
        <v>0</v>
      </c>
      <c r="AC135" s="15">
        <f>SUMIFS(Monatsexporte[Saldo],Monatsexporte[Jahr],$B$4,Monatsexporte[Monat],8,Monatsexporte[Konto],B135)</f>
        <v>0</v>
      </c>
      <c r="AD135" s="15">
        <f>SUMIFS(Monatsexporte[Saldo],Monatsexporte[Jahr],$B$5,Monatsexporte[Monat],8,Monatsexporte[Konto],B135)</f>
        <v>0</v>
      </c>
      <c r="AE135" s="22">
        <f>IF(AD135=0,0,AC135/AD135-1)</f>
        <v>0</v>
      </c>
      <c r="AF135" s="15">
        <f>SUMIFS(Monatsexporte[Saldo],Monatsexporte[Jahr],$B$4,Monatsexporte[Monat],9,Monatsexporte[Konto],B135)</f>
        <v>0</v>
      </c>
      <c r="AG135" s="15">
        <f>SUMIFS(Monatsexporte[Saldo],Monatsexporte[Jahr],$B$5,Monatsexporte[Monat],9,Monatsexporte[Konto],B135)</f>
        <v>0</v>
      </c>
      <c r="AH135" s="22">
        <f>IF(AG135=0,0,AF135/AG135-1)</f>
        <v>0</v>
      </c>
      <c r="AI135" s="15">
        <f>SUMIFS(Monatsexporte[Saldo],Monatsexporte[Jahr],$B$4,Monatsexporte[Monat],10,Monatsexporte[Konto],B135)</f>
        <v>0</v>
      </c>
      <c r="AJ135" s="15">
        <f>SUMIFS(Monatsexporte[Saldo],Monatsexporte[Jahr],$B$5,Monatsexporte[Monat],10,Monatsexporte[Konto],B135)</f>
        <v>0</v>
      </c>
      <c r="AK135" s="22">
        <f>IF(AJ135=0,0,AI135/AJ135-1)</f>
        <v>0</v>
      </c>
      <c r="AL135" s="15">
        <f>SUMIFS(Monatsexporte[Saldo],Monatsexporte[Jahr],$B$4,Monatsexporte[Monat],11,Monatsexporte[Konto],B135)</f>
        <v>0</v>
      </c>
      <c r="AM135" s="15">
        <f>SUMIFS(Monatsexporte[Saldo],Monatsexporte[Jahr],$B$5,Monatsexporte[Monat],11,Monatsexporte[Konto],B135)</f>
        <v>0</v>
      </c>
      <c r="AN135" s="22">
        <f>IF(AM135=0,0,AL135/AM135-1)</f>
        <v>0</v>
      </c>
      <c r="AO135" s="15">
        <f>SUMIFS(Monatsexporte[Saldo],Monatsexporte[Jahr],$B$4,Monatsexporte[Monat],12,Monatsexporte[Konto],B135)</f>
        <v>0</v>
      </c>
      <c r="AP135" s="15">
        <f>SUMIFS(Monatsexporte[Saldo],Monatsexporte[Jahr],$B$5,Monatsexporte[Monat],12,Monatsexporte[Konto],B135)</f>
        <v>0</v>
      </c>
      <c r="AQ135" s="22">
        <f>IF(AP135=0,0,AO135/AP135-1)</f>
        <v>0</v>
      </c>
    </row>
    <row r="136" spans="1:43" hidden="1" outlineLevel="1" x14ac:dyDescent="0.45">
      <c r="A136" s="10" t="s">
        <v>528</v>
      </c>
      <c r="B136" s="39">
        <v>720151029</v>
      </c>
      <c r="C136" s="15">
        <v>68</v>
      </c>
      <c r="D136" s="15">
        <f ca="1">SUMIFS(Monatsexporte[Saldo],Monatsexporte[Jahr],$B$4,Monatsexporte[Monat],"&lt;="&amp;$B$8,Monatsexporte[Konto],B136)</f>
        <v>204</v>
      </c>
      <c r="E136" s="15">
        <f ca="1">SUMIFS(Monatsexporte[Saldo],Monatsexporte[Jahr],$B$5,Monatsexporte[Monat],"&lt;="&amp;$B$8,Monatsexporte[Konto],B136)</f>
        <v>0</v>
      </c>
      <c r="F136" s="15">
        <f ca="1">D136-E136</f>
        <v>204</v>
      </c>
      <c r="G136" s="22">
        <f ca="1">IF(E136=0,0,D136/E136-1)</f>
        <v>0</v>
      </c>
      <c r="H136" s="15">
        <f>SUMIFS(Monatsexporte[Saldo],Monatsexporte[Jahr],$B$4,Monatsexporte[Monat],1,Monatsexporte[Konto],B136)</f>
        <v>0</v>
      </c>
      <c r="I136" s="15">
        <f>SUMIFS(Monatsexporte[Saldo],Monatsexporte[Jahr],$B$5,Monatsexporte[Monat],1,Monatsexporte[Konto],B136)</f>
        <v>0</v>
      </c>
      <c r="J136" s="22">
        <f>IF(I136=0,0,H136/I136-1)</f>
        <v>0</v>
      </c>
      <c r="K136" s="15">
        <f>SUMIFS(Monatsexporte[Saldo],Monatsexporte[Jahr],$B$4,Monatsexporte[Monat],2,Monatsexporte[Konto],B136)</f>
        <v>0</v>
      </c>
      <c r="L136" s="15">
        <f>SUMIFS(Monatsexporte[Saldo],Monatsexporte[Jahr],$B$5,Monatsexporte[Monat],2,Monatsexporte[Konto],B136)</f>
        <v>0</v>
      </c>
      <c r="M136" s="22">
        <f>IF(L136=0,0,K136/L136-1)</f>
        <v>0</v>
      </c>
      <c r="N136" s="15">
        <f>SUMIFS(Monatsexporte[Saldo],Monatsexporte[Jahr],$B$4,Monatsexporte[Monat],3,Monatsexporte[Konto],B136)</f>
        <v>68</v>
      </c>
      <c r="O136" s="15">
        <f>SUMIFS(Monatsexporte[Saldo],Monatsexporte[Jahr],$B$5,Monatsexporte[Monat],3,Monatsexporte[Konto],B136)</f>
        <v>0</v>
      </c>
      <c r="P136" s="22">
        <f>IF(O136=0,0,N136/O136-1)</f>
        <v>0</v>
      </c>
      <c r="Q136" s="15">
        <f>SUMIFS(Monatsexporte[Saldo],Monatsexporte[Jahr],$B$4,Monatsexporte[Monat],4,Monatsexporte[Konto],B136)</f>
        <v>68</v>
      </c>
      <c r="R136" s="15">
        <f>SUMIFS(Monatsexporte[Saldo],Monatsexporte[Jahr],$B$5,Monatsexporte[Monat],4,Monatsexporte[Konto],B136)</f>
        <v>0</v>
      </c>
      <c r="S136" s="22">
        <f>IF(R136=0,0,Q136/R136-1)</f>
        <v>0</v>
      </c>
      <c r="T136" s="15">
        <f>SUMIFS(Monatsexporte[Saldo],Monatsexporte[Jahr],$B$4,Monatsexporte[Monat],5,Monatsexporte[Konto],B136)</f>
        <v>68</v>
      </c>
      <c r="U136" s="15">
        <f>SUMIFS(Monatsexporte[Saldo],Monatsexporte[Jahr],$B$5,Monatsexporte[Monat],5,Monatsexporte[Konto],B136)</f>
        <v>0</v>
      </c>
      <c r="V136" s="22">
        <f>IF(U136=0,0,T136/U136-1)</f>
        <v>0</v>
      </c>
      <c r="W136" s="15">
        <f>SUMIFS(Monatsexporte[Saldo],Monatsexporte[Jahr],$B$4,Monatsexporte[Monat],6,Monatsexporte[Konto],B136)</f>
        <v>0</v>
      </c>
      <c r="X136" s="15">
        <f>SUMIFS(Monatsexporte[Saldo],Monatsexporte[Jahr],$B$5,Monatsexporte[Monat],6,Monatsexporte[Konto],B136)</f>
        <v>0</v>
      </c>
      <c r="Y136" s="22">
        <f>IF(X136=0,0,W136/X136-1)</f>
        <v>0</v>
      </c>
      <c r="Z136" s="15">
        <f>SUMIFS(Monatsexporte[Saldo],Monatsexporte[Jahr],$B$4,Monatsexporte[Monat],7,Monatsexporte[Konto],B136)</f>
        <v>0</v>
      </c>
      <c r="AA136" s="15">
        <f>SUMIFS(Monatsexporte[Saldo],Monatsexporte[Jahr],$B$5,Monatsexporte[Monat],7,Monatsexporte[Konto],B136)</f>
        <v>0</v>
      </c>
      <c r="AB136" s="22">
        <f>IF(AA136=0,0,Z136/AA136-1)</f>
        <v>0</v>
      </c>
      <c r="AC136" s="15">
        <f>SUMIFS(Monatsexporte[Saldo],Monatsexporte[Jahr],$B$4,Monatsexporte[Monat],8,Monatsexporte[Konto],B136)</f>
        <v>0</v>
      </c>
      <c r="AD136" s="15">
        <f>SUMIFS(Monatsexporte[Saldo],Monatsexporte[Jahr],$B$5,Monatsexporte[Monat],8,Monatsexporte[Konto],B136)</f>
        <v>0</v>
      </c>
      <c r="AE136" s="22">
        <f>IF(AD136=0,0,AC136/AD136-1)</f>
        <v>0</v>
      </c>
      <c r="AF136" s="15">
        <f>SUMIFS(Monatsexporte[Saldo],Monatsexporte[Jahr],$B$4,Monatsexporte[Monat],9,Monatsexporte[Konto],B136)</f>
        <v>0</v>
      </c>
      <c r="AG136" s="15">
        <f>SUMIFS(Monatsexporte[Saldo],Monatsexporte[Jahr],$B$5,Monatsexporte[Monat],9,Monatsexporte[Konto],B136)</f>
        <v>0</v>
      </c>
      <c r="AH136" s="22">
        <f>IF(AG136=0,0,AF136/AG136-1)</f>
        <v>0</v>
      </c>
      <c r="AI136" s="15">
        <f>SUMIFS(Monatsexporte[Saldo],Monatsexporte[Jahr],$B$4,Monatsexporte[Monat],10,Monatsexporte[Konto],B136)</f>
        <v>0</v>
      </c>
      <c r="AJ136" s="15">
        <f>SUMIFS(Monatsexporte[Saldo],Monatsexporte[Jahr],$B$5,Monatsexporte[Monat],10,Monatsexporte[Konto],B136)</f>
        <v>0</v>
      </c>
      <c r="AK136" s="22">
        <f>IF(AJ136=0,0,AI136/AJ136-1)</f>
        <v>0</v>
      </c>
      <c r="AL136" s="15">
        <f>SUMIFS(Monatsexporte[Saldo],Monatsexporte[Jahr],$B$4,Monatsexporte[Monat],11,Monatsexporte[Konto],B136)</f>
        <v>0</v>
      </c>
      <c r="AM136" s="15">
        <f>SUMIFS(Monatsexporte[Saldo],Monatsexporte[Jahr],$B$5,Monatsexporte[Monat],11,Monatsexporte[Konto],B136)</f>
        <v>0</v>
      </c>
      <c r="AN136" s="22">
        <f>IF(AM136=0,0,AL136/AM136-1)</f>
        <v>0</v>
      </c>
      <c r="AO136" s="15">
        <f>SUMIFS(Monatsexporte[Saldo],Monatsexporte[Jahr],$B$4,Monatsexporte[Monat],12,Monatsexporte[Konto],B136)</f>
        <v>0</v>
      </c>
      <c r="AP136" s="15">
        <f>SUMIFS(Monatsexporte[Saldo],Monatsexporte[Jahr],$B$5,Monatsexporte[Monat],12,Monatsexporte[Konto],B136)</f>
        <v>0</v>
      </c>
      <c r="AQ136" s="22">
        <f>IF(AP136=0,0,AO136/AP136-1)</f>
        <v>0</v>
      </c>
    </row>
    <row r="137" spans="1:43" collapsed="1" x14ac:dyDescent="0.45">
      <c r="A137" s="35" t="s">
        <v>524</v>
      </c>
      <c r="B137" s="39" t="s">
        <v>525</v>
      </c>
      <c r="C137" s="15">
        <f>SUM(C134:C136)</f>
        <v>14554</v>
      </c>
      <c r="D137" s="15">
        <f ca="1">SUM(D134:D136)</f>
        <v>43662.600000000006</v>
      </c>
      <c r="E137" s="15">
        <f ca="1">SUM(E134:E136)</f>
        <v>0</v>
      </c>
      <c r="F137" s="15">
        <f ca="1">D137-E137</f>
        <v>43662.600000000006</v>
      </c>
      <c r="G137" s="22">
        <f ca="1">IF(E137=0,0,D137/E137-1)</f>
        <v>0</v>
      </c>
      <c r="H137" s="15">
        <f>SUM(H134:H136)</f>
        <v>0</v>
      </c>
      <c r="I137" s="15">
        <f>SUM(I134:I136)</f>
        <v>0</v>
      </c>
      <c r="J137" s="22">
        <f>IF(I137=0,0,H137/I137-1)</f>
        <v>0</v>
      </c>
      <c r="K137" s="15">
        <f>SUM(K134:K136)</f>
        <v>0</v>
      </c>
      <c r="L137" s="15">
        <f>SUM(L134:L136)</f>
        <v>0</v>
      </c>
      <c r="M137" s="22">
        <f>IF(L137=0,0,K137/L137-1)</f>
        <v>0</v>
      </c>
      <c r="N137" s="15">
        <f>SUM(N134:N136)</f>
        <v>14554.2</v>
      </c>
      <c r="O137" s="15">
        <f>SUM(O134:O136)</f>
        <v>0</v>
      </c>
      <c r="P137" s="22">
        <f>IF(O137=0,0,N137/O137-1)</f>
        <v>0</v>
      </c>
      <c r="Q137" s="15">
        <f>SUM(Q134:Q136)</f>
        <v>14554.2</v>
      </c>
      <c r="R137" s="15">
        <f>SUM(R134:R136)</f>
        <v>0</v>
      </c>
      <c r="S137" s="22">
        <f>IF(R137=0,0,Q137/R137-1)</f>
        <v>0</v>
      </c>
      <c r="T137" s="15">
        <f>SUM(T134:T136)</f>
        <v>14554.2</v>
      </c>
      <c r="U137" s="15">
        <f>SUM(U134:U136)</f>
        <v>0</v>
      </c>
      <c r="V137" s="22">
        <f>IF(U137=0,0,T137/U137-1)</f>
        <v>0</v>
      </c>
      <c r="W137" s="15">
        <f>SUM(W134:W136)</f>
        <v>0</v>
      </c>
      <c r="X137" s="15">
        <f>SUM(X134:X136)</f>
        <v>0</v>
      </c>
      <c r="Y137" s="22">
        <f>IF(X137=0,0,W137/X137-1)</f>
        <v>0</v>
      </c>
      <c r="Z137" s="15">
        <f>SUM(Z134:Z136)</f>
        <v>0</v>
      </c>
      <c r="AA137" s="15">
        <f>SUM(AA134:AA136)</f>
        <v>0</v>
      </c>
      <c r="AB137" s="22">
        <f>IF(AA137=0,0,Z137/AA137-1)</f>
        <v>0</v>
      </c>
      <c r="AC137" s="15">
        <f>SUM(AC134:AC136)</f>
        <v>0</v>
      </c>
      <c r="AD137" s="15">
        <f>SUM(AD134:AD136)</f>
        <v>0</v>
      </c>
      <c r="AE137" s="22">
        <f>IF(AD137=0,0,AC137/AD137-1)</f>
        <v>0</v>
      </c>
      <c r="AF137" s="15">
        <f>SUM(AF134:AF136)</f>
        <v>0</v>
      </c>
      <c r="AG137" s="15">
        <f>SUM(AG134:AG136)</f>
        <v>0</v>
      </c>
      <c r="AH137" s="22">
        <f>IF(AG137=0,0,AF137/AG137-1)</f>
        <v>0</v>
      </c>
      <c r="AI137" s="15">
        <f>SUM(AI134:AI136)</f>
        <v>0</v>
      </c>
      <c r="AJ137" s="15">
        <f>SUM(AJ134:AJ136)</f>
        <v>0</v>
      </c>
      <c r="AK137" s="22">
        <f>IF(AJ137=0,0,AI137/AJ137-1)</f>
        <v>0</v>
      </c>
      <c r="AL137" s="15">
        <f>SUM(AL134:AL136)</f>
        <v>0</v>
      </c>
      <c r="AM137" s="15">
        <f>SUM(AM134:AM136)</f>
        <v>0</v>
      </c>
      <c r="AN137" s="22">
        <f>IF(AM137=0,0,AL137/AM137-1)</f>
        <v>0</v>
      </c>
      <c r="AO137" s="15">
        <f>SUM(AO134:AO136)</f>
        <v>0</v>
      </c>
      <c r="AP137" s="15">
        <f>SUM(AP134:AP136)</f>
        <v>0</v>
      </c>
      <c r="AQ137" s="22">
        <f>IF(AP137=0,0,AO137/AP137-1)</f>
        <v>0</v>
      </c>
    </row>
    <row r="138" spans="1:43" x14ac:dyDescent="0.45">
      <c r="C138" s="15"/>
      <c r="D138" s="15"/>
      <c r="E138" s="15"/>
      <c r="F138" s="15"/>
      <c r="G138" s="22"/>
      <c r="H138" s="15"/>
      <c r="I138" s="15"/>
      <c r="J138" s="22"/>
      <c r="K138" s="15"/>
      <c r="L138" s="15"/>
      <c r="M138" s="22"/>
      <c r="N138" s="15"/>
      <c r="O138" s="15"/>
      <c r="P138" s="22"/>
      <c r="Q138" s="15"/>
      <c r="R138" s="15"/>
      <c r="S138" s="22"/>
      <c r="T138" s="15"/>
      <c r="U138" s="15"/>
      <c r="V138" s="22"/>
      <c r="W138" s="15"/>
      <c r="X138" s="15"/>
      <c r="Y138" s="22"/>
      <c r="Z138" s="15"/>
      <c r="AA138" s="15"/>
      <c r="AB138" s="22"/>
      <c r="AC138" s="15"/>
      <c r="AD138" s="15"/>
      <c r="AE138" s="22"/>
      <c r="AF138" s="15"/>
      <c r="AG138" s="15"/>
      <c r="AH138" s="22"/>
      <c r="AI138" s="15"/>
      <c r="AJ138" s="15"/>
      <c r="AK138" s="22"/>
      <c r="AL138" s="15"/>
      <c r="AM138" s="15"/>
      <c r="AN138" s="22"/>
      <c r="AO138" s="15"/>
      <c r="AP138" s="15"/>
      <c r="AQ138" s="22"/>
    </row>
    <row r="139" spans="1:43" hidden="1" outlineLevel="1" x14ac:dyDescent="0.45">
      <c r="A139" s="10" t="s">
        <v>531</v>
      </c>
      <c r="B139" s="39">
        <v>8401510</v>
      </c>
      <c r="C139" s="15">
        <v>-1</v>
      </c>
      <c r="D139" s="15">
        <f ca="1">SUMIFS(Monatsexporte[Saldo],Monatsexporte[Jahr],$B$4,Monatsexporte[Monat],"&lt;="&amp;$B$8,Monatsexporte[Konto],B139)</f>
        <v>4.2299999999999995</v>
      </c>
      <c r="E139" s="15">
        <f ca="1">SUMIFS(Monatsexporte[Saldo],Monatsexporte[Jahr],$B$5,Monatsexporte[Monat],"&lt;="&amp;$B$8,Monatsexporte[Konto],B139)</f>
        <v>0</v>
      </c>
      <c r="F139" s="15">
        <f t="shared" ref="F139:F145" ca="1" si="56">D139-E139</f>
        <v>4.2299999999999995</v>
      </c>
      <c r="G139" s="22">
        <f t="shared" ref="G139:G145" ca="1" si="57">IF(E139=0,0,D139/E139-1)</f>
        <v>0</v>
      </c>
      <c r="H139" s="15">
        <f>SUMIFS(Monatsexporte[Saldo],Monatsexporte[Jahr],$B$4,Monatsexporte[Monat],1,Monatsexporte[Konto],B139)</f>
        <v>0</v>
      </c>
      <c r="I139" s="15">
        <f>SUMIFS(Monatsexporte[Saldo],Monatsexporte[Jahr],$B$5,Monatsexporte[Monat],1,Monatsexporte[Konto],B139)</f>
        <v>0</v>
      </c>
      <c r="J139" s="22">
        <f t="shared" ref="J139:J145" si="58">IF(I139=0,0,H139/I139-1)</f>
        <v>0</v>
      </c>
      <c r="K139" s="15">
        <f>SUMIFS(Monatsexporte[Saldo],Monatsexporte[Jahr],$B$4,Monatsexporte[Monat],2,Monatsexporte[Konto],B139)</f>
        <v>0</v>
      </c>
      <c r="L139" s="15">
        <f>SUMIFS(Monatsexporte[Saldo],Monatsexporte[Jahr],$B$5,Monatsexporte[Monat],2,Monatsexporte[Konto],B139)</f>
        <v>0</v>
      </c>
      <c r="M139" s="22">
        <f t="shared" ref="M139:M145" si="59">IF(L139=0,0,K139/L139-1)</f>
        <v>0</v>
      </c>
      <c r="N139" s="15">
        <f>SUMIFS(Monatsexporte[Saldo],Monatsexporte[Jahr],$B$4,Monatsexporte[Monat],3,Monatsexporte[Konto],B139)</f>
        <v>1.41</v>
      </c>
      <c r="O139" s="15">
        <f>SUMIFS(Monatsexporte[Saldo],Monatsexporte[Jahr],$B$5,Monatsexporte[Monat],3,Monatsexporte[Konto],B139)</f>
        <v>0</v>
      </c>
      <c r="P139" s="22">
        <f t="shared" ref="P139:P145" si="60">IF(O139=0,0,N139/O139-1)</f>
        <v>0</v>
      </c>
      <c r="Q139" s="15">
        <f>SUMIFS(Monatsexporte[Saldo],Monatsexporte[Jahr],$B$4,Monatsexporte[Monat],4,Monatsexporte[Konto],B139)</f>
        <v>1.41</v>
      </c>
      <c r="R139" s="15">
        <f>SUMIFS(Monatsexporte[Saldo],Monatsexporte[Jahr],$B$5,Monatsexporte[Monat],4,Monatsexporte[Konto],B139)</f>
        <v>0</v>
      </c>
      <c r="S139" s="22">
        <f t="shared" ref="S139:S145" si="61">IF(R139=0,0,Q139/R139-1)</f>
        <v>0</v>
      </c>
      <c r="T139" s="15">
        <f>SUMIFS(Monatsexporte[Saldo],Monatsexporte[Jahr],$B$4,Monatsexporte[Monat],5,Monatsexporte[Konto],B139)</f>
        <v>1.41</v>
      </c>
      <c r="U139" s="15">
        <f>SUMIFS(Monatsexporte[Saldo],Monatsexporte[Jahr],$B$5,Monatsexporte[Monat],5,Monatsexporte[Konto],B139)</f>
        <v>0</v>
      </c>
      <c r="V139" s="22">
        <f t="shared" ref="V139:V145" si="62">IF(U139=0,0,T139/U139-1)</f>
        <v>0</v>
      </c>
      <c r="W139" s="15">
        <f>SUMIFS(Monatsexporte[Saldo],Monatsexporte[Jahr],$B$4,Monatsexporte[Monat],6,Monatsexporte[Konto],B139)</f>
        <v>0</v>
      </c>
      <c r="X139" s="15">
        <f>SUMIFS(Monatsexporte[Saldo],Monatsexporte[Jahr],$B$5,Monatsexporte[Monat],6,Monatsexporte[Konto],B139)</f>
        <v>0</v>
      </c>
      <c r="Y139" s="22">
        <f t="shared" ref="Y139:Y145" si="63">IF(X139=0,0,W139/X139-1)</f>
        <v>0</v>
      </c>
      <c r="Z139" s="15">
        <f>SUMIFS(Monatsexporte[Saldo],Monatsexporte[Jahr],$B$4,Monatsexporte[Monat],7,Monatsexporte[Konto],B139)</f>
        <v>0</v>
      </c>
      <c r="AA139" s="15">
        <f>SUMIFS(Monatsexporte[Saldo],Monatsexporte[Jahr],$B$5,Monatsexporte[Monat],7,Monatsexporte[Konto],B139)</f>
        <v>0</v>
      </c>
      <c r="AB139" s="22">
        <f t="shared" ref="AB139:AB145" si="64">IF(AA139=0,0,Z139/AA139-1)</f>
        <v>0</v>
      </c>
      <c r="AC139" s="15">
        <f>SUMIFS(Monatsexporte[Saldo],Monatsexporte[Jahr],$B$4,Monatsexporte[Monat],8,Monatsexporte[Konto],B139)</f>
        <v>0</v>
      </c>
      <c r="AD139" s="15">
        <f>SUMIFS(Monatsexporte[Saldo],Monatsexporte[Jahr],$B$5,Monatsexporte[Monat],8,Monatsexporte[Konto],B139)</f>
        <v>0</v>
      </c>
      <c r="AE139" s="22">
        <f t="shared" ref="AE139:AE145" si="65">IF(AD139=0,0,AC139/AD139-1)</f>
        <v>0</v>
      </c>
      <c r="AF139" s="15">
        <f>SUMIFS(Monatsexporte[Saldo],Monatsexporte[Jahr],$B$4,Monatsexporte[Monat],9,Monatsexporte[Konto],B139)</f>
        <v>0</v>
      </c>
      <c r="AG139" s="15">
        <f>SUMIFS(Monatsexporte[Saldo],Monatsexporte[Jahr],$B$5,Monatsexporte[Monat],9,Monatsexporte[Konto],B139)</f>
        <v>0</v>
      </c>
      <c r="AH139" s="22">
        <f t="shared" ref="AH139:AH145" si="66">IF(AG139=0,0,AF139/AG139-1)</f>
        <v>0</v>
      </c>
      <c r="AI139" s="15">
        <f>SUMIFS(Monatsexporte[Saldo],Monatsexporte[Jahr],$B$4,Monatsexporte[Monat],10,Monatsexporte[Konto],B139)</f>
        <v>0</v>
      </c>
      <c r="AJ139" s="15">
        <f>SUMIFS(Monatsexporte[Saldo],Monatsexporte[Jahr],$B$5,Monatsexporte[Monat],10,Monatsexporte[Konto],B139)</f>
        <v>0</v>
      </c>
      <c r="AK139" s="22">
        <f t="shared" ref="AK139:AK145" si="67">IF(AJ139=0,0,AI139/AJ139-1)</f>
        <v>0</v>
      </c>
      <c r="AL139" s="15">
        <f>SUMIFS(Monatsexporte[Saldo],Monatsexporte[Jahr],$B$4,Monatsexporte[Monat],11,Monatsexporte[Konto],B139)</f>
        <v>0</v>
      </c>
      <c r="AM139" s="15">
        <f>SUMIFS(Monatsexporte[Saldo],Monatsexporte[Jahr],$B$5,Monatsexporte[Monat],11,Monatsexporte[Konto],B139)</f>
        <v>0</v>
      </c>
      <c r="AN139" s="22">
        <f t="shared" ref="AN139:AN145" si="68">IF(AM139=0,0,AL139/AM139-1)</f>
        <v>0</v>
      </c>
      <c r="AO139" s="15">
        <f>SUMIFS(Monatsexporte[Saldo],Monatsexporte[Jahr],$B$4,Monatsexporte[Monat],12,Monatsexporte[Konto],B139)</f>
        <v>0</v>
      </c>
      <c r="AP139" s="15">
        <f>SUMIFS(Monatsexporte[Saldo],Monatsexporte[Jahr],$B$5,Monatsexporte[Monat],12,Monatsexporte[Konto],B139)</f>
        <v>0</v>
      </c>
      <c r="AQ139" s="22">
        <f t="shared" ref="AQ139:AQ145" si="69">IF(AP139=0,0,AO139/AP139-1)</f>
        <v>0</v>
      </c>
    </row>
    <row r="140" spans="1:43" hidden="1" outlineLevel="1" x14ac:dyDescent="0.45">
      <c r="A140" s="10" t="s">
        <v>532</v>
      </c>
      <c r="B140" s="39">
        <v>85015040</v>
      </c>
      <c r="C140" s="15">
        <v>18</v>
      </c>
      <c r="D140" s="15">
        <f ca="1">SUMIFS(Monatsexporte[Saldo],Monatsexporte[Jahr],$B$4,Monatsexporte[Monat],"&lt;="&amp;$B$8,Monatsexporte[Konto],B140)</f>
        <v>53.489999999999995</v>
      </c>
      <c r="E140" s="15">
        <f ca="1">SUMIFS(Monatsexporte[Saldo],Monatsexporte[Jahr],$B$5,Monatsexporte[Monat],"&lt;="&amp;$B$8,Monatsexporte[Konto],B140)</f>
        <v>0</v>
      </c>
      <c r="F140" s="15">
        <f t="shared" ca="1" si="56"/>
        <v>53.489999999999995</v>
      </c>
      <c r="G140" s="22">
        <f t="shared" ca="1" si="57"/>
        <v>0</v>
      </c>
      <c r="H140" s="15">
        <f>SUMIFS(Monatsexporte[Saldo],Monatsexporte[Jahr],$B$4,Monatsexporte[Monat],1,Monatsexporte[Konto],B140)</f>
        <v>0</v>
      </c>
      <c r="I140" s="15">
        <f>SUMIFS(Monatsexporte[Saldo],Monatsexporte[Jahr],$B$5,Monatsexporte[Monat],1,Monatsexporte[Konto],B140)</f>
        <v>0</v>
      </c>
      <c r="J140" s="22">
        <f t="shared" si="58"/>
        <v>0</v>
      </c>
      <c r="K140" s="15">
        <f>SUMIFS(Monatsexporte[Saldo],Monatsexporte[Jahr],$B$4,Monatsexporte[Monat],2,Monatsexporte[Konto],B140)</f>
        <v>0</v>
      </c>
      <c r="L140" s="15">
        <f>SUMIFS(Monatsexporte[Saldo],Monatsexporte[Jahr],$B$5,Monatsexporte[Monat],2,Monatsexporte[Konto],B140)</f>
        <v>0</v>
      </c>
      <c r="M140" s="22">
        <f t="shared" si="59"/>
        <v>0</v>
      </c>
      <c r="N140" s="15">
        <f>SUMIFS(Monatsexporte[Saldo],Monatsexporte[Jahr],$B$4,Monatsexporte[Monat],3,Monatsexporte[Konto],B140)</f>
        <v>17.829999999999998</v>
      </c>
      <c r="O140" s="15">
        <f>SUMIFS(Monatsexporte[Saldo],Monatsexporte[Jahr],$B$5,Monatsexporte[Monat],3,Monatsexporte[Konto],B140)</f>
        <v>0</v>
      </c>
      <c r="P140" s="22">
        <f t="shared" si="60"/>
        <v>0</v>
      </c>
      <c r="Q140" s="15">
        <f>SUMIFS(Monatsexporte[Saldo],Monatsexporte[Jahr],$B$4,Monatsexporte[Monat],4,Monatsexporte[Konto],B140)</f>
        <v>17.829999999999998</v>
      </c>
      <c r="R140" s="15">
        <f>SUMIFS(Monatsexporte[Saldo],Monatsexporte[Jahr],$B$5,Monatsexporte[Monat],4,Monatsexporte[Konto],B140)</f>
        <v>0</v>
      </c>
      <c r="S140" s="22">
        <f t="shared" si="61"/>
        <v>0</v>
      </c>
      <c r="T140" s="15">
        <f>SUMIFS(Monatsexporte[Saldo],Monatsexporte[Jahr],$B$4,Monatsexporte[Monat],5,Monatsexporte[Konto],B140)</f>
        <v>17.829999999999998</v>
      </c>
      <c r="U140" s="15">
        <f>SUMIFS(Monatsexporte[Saldo],Monatsexporte[Jahr],$B$5,Monatsexporte[Monat],5,Monatsexporte[Konto],B140)</f>
        <v>0</v>
      </c>
      <c r="V140" s="22">
        <f t="shared" si="62"/>
        <v>0</v>
      </c>
      <c r="W140" s="15">
        <f>SUMIFS(Monatsexporte[Saldo],Monatsexporte[Jahr],$B$4,Monatsexporte[Monat],6,Monatsexporte[Konto],B140)</f>
        <v>0</v>
      </c>
      <c r="X140" s="15">
        <f>SUMIFS(Monatsexporte[Saldo],Monatsexporte[Jahr],$B$5,Monatsexporte[Monat],6,Monatsexporte[Konto],B140)</f>
        <v>0</v>
      </c>
      <c r="Y140" s="22">
        <f t="shared" si="63"/>
        <v>0</v>
      </c>
      <c r="Z140" s="15">
        <f>SUMIFS(Monatsexporte[Saldo],Monatsexporte[Jahr],$B$4,Monatsexporte[Monat],7,Monatsexporte[Konto],B140)</f>
        <v>0</v>
      </c>
      <c r="AA140" s="15">
        <f>SUMIFS(Monatsexporte[Saldo],Monatsexporte[Jahr],$B$5,Monatsexporte[Monat],7,Monatsexporte[Konto],B140)</f>
        <v>0</v>
      </c>
      <c r="AB140" s="22">
        <f t="shared" si="64"/>
        <v>0</v>
      </c>
      <c r="AC140" s="15">
        <f>SUMIFS(Monatsexporte[Saldo],Monatsexporte[Jahr],$B$4,Monatsexporte[Monat],8,Monatsexporte[Konto],B140)</f>
        <v>0</v>
      </c>
      <c r="AD140" s="15">
        <f>SUMIFS(Monatsexporte[Saldo],Monatsexporte[Jahr],$B$5,Monatsexporte[Monat],8,Monatsexporte[Konto],B140)</f>
        <v>0</v>
      </c>
      <c r="AE140" s="22">
        <f t="shared" si="65"/>
        <v>0</v>
      </c>
      <c r="AF140" s="15">
        <f>SUMIFS(Monatsexporte[Saldo],Monatsexporte[Jahr],$B$4,Monatsexporte[Monat],9,Monatsexporte[Konto],B140)</f>
        <v>0</v>
      </c>
      <c r="AG140" s="15">
        <f>SUMIFS(Monatsexporte[Saldo],Monatsexporte[Jahr],$B$5,Monatsexporte[Monat],9,Monatsexporte[Konto],B140)</f>
        <v>0</v>
      </c>
      <c r="AH140" s="22">
        <f t="shared" si="66"/>
        <v>0</v>
      </c>
      <c r="AI140" s="15">
        <f>SUMIFS(Monatsexporte[Saldo],Monatsexporte[Jahr],$B$4,Monatsexporte[Monat],10,Monatsexporte[Konto],B140)</f>
        <v>0</v>
      </c>
      <c r="AJ140" s="15">
        <f>SUMIFS(Monatsexporte[Saldo],Monatsexporte[Jahr],$B$5,Monatsexporte[Monat],10,Monatsexporte[Konto],B140)</f>
        <v>0</v>
      </c>
      <c r="AK140" s="22">
        <f t="shared" si="67"/>
        <v>0</v>
      </c>
      <c r="AL140" s="15">
        <f>SUMIFS(Monatsexporte[Saldo],Monatsexporte[Jahr],$B$4,Monatsexporte[Monat],11,Monatsexporte[Konto],B140)</f>
        <v>0</v>
      </c>
      <c r="AM140" s="15">
        <f>SUMIFS(Monatsexporte[Saldo],Monatsexporte[Jahr],$B$5,Monatsexporte[Monat],11,Monatsexporte[Konto],B140)</f>
        <v>0</v>
      </c>
      <c r="AN140" s="22">
        <f t="shared" si="68"/>
        <v>0</v>
      </c>
      <c r="AO140" s="15">
        <f>SUMIFS(Monatsexporte[Saldo],Monatsexporte[Jahr],$B$4,Monatsexporte[Monat],12,Monatsexporte[Konto],B140)</f>
        <v>0</v>
      </c>
      <c r="AP140" s="15">
        <f>SUMIFS(Monatsexporte[Saldo],Monatsexporte[Jahr],$B$5,Monatsexporte[Monat],12,Monatsexporte[Konto],B140)</f>
        <v>0</v>
      </c>
      <c r="AQ140" s="22">
        <f t="shared" si="69"/>
        <v>0</v>
      </c>
    </row>
    <row r="141" spans="1:43" hidden="1" outlineLevel="1" x14ac:dyDescent="0.45">
      <c r="A141" s="10" t="s">
        <v>533</v>
      </c>
      <c r="B141" s="39">
        <v>85015050</v>
      </c>
      <c r="C141" s="15">
        <v>276</v>
      </c>
      <c r="D141" s="15">
        <f ca="1">SUMIFS(Monatsexporte[Saldo],Monatsexporte[Jahr],$B$4,Monatsexporte[Monat],"&lt;="&amp;$B$8,Monatsexporte[Konto],B141)</f>
        <v>828.78</v>
      </c>
      <c r="E141" s="15">
        <f ca="1">SUMIFS(Monatsexporte[Saldo],Monatsexporte[Jahr],$B$5,Monatsexporte[Monat],"&lt;="&amp;$B$8,Monatsexporte[Konto],B141)</f>
        <v>0</v>
      </c>
      <c r="F141" s="15">
        <f t="shared" ca="1" si="56"/>
        <v>828.78</v>
      </c>
      <c r="G141" s="22">
        <f t="shared" ca="1" si="57"/>
        <v>0</v>
      </c>
      <c r="H141" s="15">
        <f>SUMIFS(Monatsexporte[Saldo],Monatsexporte[Jahr],$B$4,Monatsexporte[Monat],1,Monatsexporte[Konto],B141)</f>
        <v>0</v>
      </c>
      <c r="I141" s="15">
        <f>SUMIFS(Monatsexporte[Saldo],Monatsexporte[Jahr],$B$5,Monatsexporte[Monat],1,Monatsexporte[Konto],B141)</f>
        <v>0</v>
      </c>
      <c r="J141" s="22">
        <f t="shared" si="58"/>
        <v>0</v>
      </c>
      <c r="K141" s="15">
        <f>SUMIFS(Monatsexporte[Saldo],Monatsexporte[Jahr],$B$4,Monatsexporte[Monat],2,Monatsexporte[Konto],B141)</f>
        <v>0</v>
      </c>
      <c r="L141" s="15">
        <f>SUMIFS(Monatsexporte[Saldo],Monatsexporte[Jahr],$B$5,Monatsexporte[Monat],2,Monatsexporte[Konto],B141)</f>
        <v>0</v>
      </c>
      <c r="M141" s="22">
        <f t="shared" si="59"/>
        <v>0</v>
      </c>
      <c r="N141" s="15">
        <f>SUMIFS(Monatsexporte[Saldo],Monatsexporte[Jahr],$B$4,Monatsexporte[Monat],3,Monatsexporte[Konto],B141)</f>
        <v>276.26</v>
      </c>
      <c r="O141" s="15">
        <f>SUMIFS(Monatsexporte[Saldo],Monatsexporte[Jahr],$B$5,Monatsexporte[Monat],3,Monatsexporte[Konto],B141)</f>
        <v>0</v>
      </c>
      <c r="P141" s="22">
        <f t="shared" si="60"/>
        <v>0</v>
      </c>
      <c r="Q141" s="15">
        <f>SUMIFS(Monatsexporte[Saldo],Monatsexporte[Jahr],$B$4,Monatsexporte[Monat],4,Monatsexporte[Konto],B141)</f>
        <v>276.26</v>
      </c>
      <c r="R141" s="15">
        <f>SUMIFS(Monatsexporte[Saldo],Monatsexporte[Jahr],$B$5,Monatsexporte[Monat],4,Monatsexporte[Konto],B141)</f>
        <v>0</v>
      </c>
      <c r="S141" s="22">
        <f t="shared" si="61"/>
        <v>0</v>
      </c>
      <c r="T141" s="15">
        <f>SUMIFS(Monatsexporte[Saldo],Monatsexporte[Jahr],$B$4,Monatsexporte[Monat],5,Monatsexporte[Konto],B141)</f>
        <v>276.26</v>
      </c>
      <c r="U141" s="15">
        <f>SUMIFS(Monatsexporte[Saldo],Monatsexporte[Jahr],$B$5,Monatsexporte[Monat],5,Monatsexporte[Konto],B141)</f>
        <v>0</v>
      </c>
      <c r="V141" s="22">
        <f t="shared" si="62"/>
        <v>0</v>
      </c>
      <c r="W141" s="15">
        <f>SUMIFS(Monatsexporte[Saldo],Monatsexporte[Jahr],$B$4,Monatsexporte[Monat],6,Monatsexporte[Konto],B141)</f>
        <v>0</v>
      </c>
      <c r="X141" s="15">
        <f>SUMIFS(Monatsexporte[Saldo],Monatsexporte[Jahr],$B$5,Monatsexporte[Monat],6,Monatsexporte[Konto],B141)</f>
        <v>0</v>
      </c>
      <c r="Y141" s="22">
        <f t="shared" si="63"/>
        <v>0</v>
      </c>
      <c r="Z141" s="15">
        <f>SUMIFS(Monatsexporte[Saldo],Monatsexporte[Jahr],$B$4,Monatsexporte[Monat],7,Monatsexporte[Konto],B141)</f>
        <v>0</v>
      </c>
      <c r="AA141" s="15">
        <f>SUMIFS(Monatsexporte[Saldo],Monatsexporte[Jahr],$B$5,Monatsexporte[Monat],7,Monatsexporte[Konto],B141)</f>
        <v>0</v>
      </c>
      <c r="AB141" s="22">
        <f t="shared" si="64"/>
        <v>0</v>
      </c>
      <c r="AC141" s="15">
        <f>SUMIFS(Monatsexporte[Saldo],Monatsexporte[Jahr],$B$4,Monatsexporte[Monat],8,Monatsexporte[Konto],B141)</f>
        <v>0</v>
      </c>
      <c r="AD141" s="15">
        <f>SUMIFS(Monatsexporte[Saldo],Monatsexporte[Jahr],$B$5,Monatsexporte[Monat],8,Monatsexporte[Konto],B141)</f>
        <v>0</v>
      </c>
      <c r="AE141" s="22">
        <f t="shared" si="65"/>
        <v>0</v>
      </c>
      <c r="AF141" s="15">
        <f>SUMIFS(Monatsexporte[Saldo],Monatsexporte[Jahr],$B$4,Monatsexporte[Monat],9,Monatsexporte[Konto],B141)</f>
        <v>0</v>
      </c>
      <c r="AG141" s="15">
        <f>SUMIFS(Monatsexporte[Saldo],Monatsexporte[Jahr],$B$5,Monatsexporte[Monat],9,Monatsexporte[Konto],B141)</f>
        <v>0</v>
      </c>
      <c r="AH141" s="22">
        <f t="shared" si="66"/>
        <v>0</v>
      </c>
      <c r="AI141" s="15">
        <f>SUMIFS(Monatsexporte[Saldo],Monatsexporte[Jahr],$B$4,Monatsexporte[Monat],10,Monatsexporte[Konto],B141)</f>
        <v>0</v>
      </c>
      <c r="AJ141" s="15">
        <f>SUMIFS(Monatsexporte[Saldo],Monatsexporte[Jahr],$B$5,Monatsexporte[Monat],10,Monatsexporte[Konto],B141)</f>
        <v>0</v>
      </c>
      <c r="AK141" s="22">
        <f t="shared" si="67"/>
        <v>0</v>
      </c>
      <c r="AL141" s="15">
        <f>SUMIFS(Monatsexporte[Saldo],Monatsexporte[Jahr],$B$4,Monatsexporte[Monat],11,Monatsexporte[Konto],B141)</f>
        <v>0</v>
      </c>
      <c r="AM141" s="15">
        <f>SUMIFS(Monatsexporte[Saldo],Monatsexporte[Jahr],$B$5,Monatsexporte[Monat],11,Monatsexporte[Konto],B141)</f>
        <v>0</v>
      </c>
      <c r="AN141" s="22">
        <f t="shared" si="68"/>
        <v>0</v>
      </c>
      <c r="AO141" s="15">
        <f>SUMIFS(Monatsexporte[Saldo],Monatsexporte[Jahr],$B$4,Monatsexporte[Monat],12,Monatsexporte[Konto],B141)</f>
        <v>0</v>
      </c>
      <c r="AP141" s="15">
        <f>SUMIFS(Monatsexporte[Saldo],Monatsexporte[Jahr],$B$5,Monatsexporte[Monat],12,Monatsexporte[Konto],B141)</f>
        <v>0</v>
      </c>
      <c r="AQ141" s="22">
        <f t="shared" si="69"/>
        <v>0</v>
      </c>
    </row>
    <row r="142" spans="1:43" hidden="1" outlineLevel="1" x14ac:dyDescent="0.45">
      <c r="A142" s="10" t="s">
        <v>534</v>
      </c>
      <c r="B142" s="39">
        <v>85015052</v>
      </c>
      <c r="C142" s="15">
        <v>5</v>
      </c>
      <c r="D142" s="15">
        <f ca="1">SUMIFS(Monatsexporte[Saldo],Monatsexporte[Jahr],$B$4,Monatsexporte[Monat],"&lt;="&amp;$B$8,Monatsexporte[Konto],B142)</f>
        <v>14.700000000000001</v>
      </c>
      <c r="E142" s="15">
        <f ca="1">SUMIFS(Monatsexporte[Saldo],Monatsexporte[Jahr],$B$5,Monatsexporte[Monat],"&lt;="&amp;$B$8,Monatsexporte[Konto],B142)</f>
        <v>0</v>
      </c>
      <c r="F142" s="15">
        <f t="shared" ca="1" si="56"/>
        <v>14.700000000000001</v>
      </c>
      <c r="G142" s="22">
        <f t="shared" ca="1" si="57"/>
        <v>0</v>
      </c>
      <c r="H142" s="15">
        <f>SUMIFS(Monatsexporte[Saldo],Monatsexporte[Jahr],$B$4,Monatsexporte[Monat],1,Monatsexporte[Konto],B142)</f>
        <v>0</v>
      </c>
      <c r="I142" s="15">
        <f>SUMIFS(Monatsexporte[Saldo],Monatsexporte[Jahr],$B$5,Monatsexporte[Monat],1,Monatsexporte[Konto],B142)</f>
        <v>0</v>
      </c>
      <c r="J142" s="22">
        <f t="shared" si="58"/>
        <v>0</v>
      </c>
      <c r="K142" s="15">
        <f>SUMIFS(Monatsexporte[Saldo],Monatsexporte[Jahr],$B$4,Monatsexporte[Monat],2,Monatsexporte[Konto],B142)</f>
        <v>0</v>
      </c>
      <c r="L142" s="15">
        <f>SUMIFS(Monatsexporte[Saldo],Monatsexporte[Jahr],$B$5,Monatsexporte[Monat],2,Monatsexporte[Konto],B142)</f>
        <v>0</v>
      </c>
      <c r="M142" s="22">
        <f t="shared" si="59"/>
        <v>0</v>
      </c>
      <c r="N142" s="15">
        <f>SUMIFS(Monatsexporte[Saldo],Monatsexporte[Jahr],$B$4,Monatsexporte[Monat],3,Monatsexporte[Konto],B142)</f>
        <v>4.9000000000000004</v>
      </c>
      <c r="O142" s="15">
        <f>SUMIFS(Monatsexporte[Saldo],Monatsexporte[Jahr],$B$5,Monatsexporte[Monat],3,Monatsexporte[Konto],B142)</f>
        <v>0</v>
      </c>
      <c r="P142" s="22">
        <f t="shared" si="60"/>
        <v>0</v>
      </c>
      <c r="Q142" s="15">
        <f>SUMIFS(Monatsexporte[Saldo],Monatsexporte[Jahr],$B$4,Monatsexporte[Monat],4,Monatsexporte[Konto],B142)</f>
        <v>4.9000000000000004</v>
      </c>
      <c r="R142" s="15">
        <f>SUMIFS(Monatsexporte[Saldo],Monatsexporte[Jahr],$B$5,Monatsexporte[Monat],4,Monatsexporte[Konto],B142)</f>
        <v>0</v>
      </c>
      <c r="S142" s="22">
        <f t="shared" si="61"/>
        <v>0</v>
      </c>
      <c r="T142" s="15">
        <f>SUMIFS(Monatsexporte[Saldo],Monatsexporte[Jahr],$B$4,Monatsexporte[Monat],5,Monatsexporte[Konto],B142)</f>
        <v>4.9000000000000004</v>
      </c>
      <c r="U142" s="15">
        <f>SUMIFS(Monatsexporte[Saldo],Monatsexporte[Jahr],$B$5,Monatsexporte[Monat],5,Monatsexporte[Konto],B142)</f>
        <v>0</v>
      </c>
      <c r="V142" s="22">
        <f t="shared" si="62"/>
        <v>0</v>
      </c>
      <c r="W142" s="15">
        <f>SUMIFS(Monatsexporte[Saldo],Monatsexporte[Jahr],$B$4,Monatsexporte[Monat],6,Monatsexporte[Konto],B142)</f>
        <v>0</v>
      </c>
      <c r="X142" s="15">
        <f>SUMIFS(Monatsexporte[Saldo],Monatsexporte[Jahr],$B$5,Monatsexporte[Monat],6,Monatsexporte[Konto],B142)</f>
        <v>0</v>
      </c>
      <c r="Y142" s="22">
        <f t="shared" si="63"/>
        <v>0</v>
      </c>
      <c r="Z142" s="15">
        <f>SUMIFS(Monatsexporte[Saldo],Monatsexporte[Jahr],$B$4,Monatsexporte[Monat],7,Monatsexporte[Konto],B142)</f>
        <v>0</v>
      </c>
      <c r="AA142" s="15">
        <f>SUMIFS(Monatsexporte[Saldo],Monatsexporte[Jahr],$B$5,Monatsexporte[Monat],7,Monatsexporte[Konto],B142)</f>
        <v>0</v>
      </c>
      <c r="AB142" s="22">
        <f t="shared" si="64"/>
        <v>0</v>
      </c>
      <c r="AC142" s="15">
        <f>SUMIFS(Monatsexporte[Saldo],Monatsexporte[Jahr],$B$4,Monatsexporte[Monat],8,Monatsexporte[Konto],B142)</f>
        <v>0</v>
      </c>
      <c r="AD142" s="15">
        <f>SUMIFS(Monatsexporte[Saldo],Monatsexporte[Jahr],$B$5,Monatsexporte[Monat],8,Monatsexporte[Konto],B142)</f>
        <v>0</v>
      </c>
      <c r="AE142" s="22">
        <f t="shared" si="65"/>
        <v>0</v>
      </c>
      <c r="AF142" s="15">
        <f>SUMIFS(Monatsexporte[Saldo],Monatsexporte[Jahr],$B$4,Monatsexporte[Monat],9,Monatsexporte[Konto],B142)</f>
        <v>0</v>
      </c>
      <c r="AG142" s="15">
        <f>SUMIFS(Monatsexporte[Saldo],Monatsexporte[Jahr],$B$5,Monatsexporte[Monat],9,Monatsexporte[Konto],B142)</f>
        <v>0</v>
      </c>
      <c r="AH142" s="22">
        <f t="shared" si="66"/>
        <v>0</v>
      </c>
      <c r="AI142" s="15">
        <f>SUMIFS(Monatsexporte[Saldo],Monatsexporte[Jahr],$B$4,Monatsexporte[Monat],10,Monatsexporte[Konto],B142)</f>
        <v>0</v>
      </c>
      <c r="AJ142" s="15">
        <f>SUMIFS(Monatsexporte[Saldo],Monatsexporte[Jahr],$B$5,Monatsexporte[Monat],10,Monatsexporte[Konto],B142)</f>
        <v>0</v>
      </c>
      <c r="AK142" s="22">
        <f t="shared" si="67"/>
        <v>0</v>
      </c>
      <c r="AL142" s="15">
        <f>SUMIFS(Monatsexporte[Saldo],Monatsexporte[Jahr],$B$4,Monatsexporte[Monat],11,Monatsexporte[Konto],B142)</f>
        <v>0</v>
      </c>
      <c r="AM142" s="15">
        <f>SUMIFS(Monatsexporte[Saldo],Monatsexporte[Jahr],$B$5,Monatsexporte[Monat],11,Monatsexporte[Konto],B142)</f>
        <v>0</v>
      </c>
      <c r="AN142" s="22">
        <f t="shared" si="68"/>
        <v>0</v>
      </c>
      <c r="AO142" s="15">
        <f>SUMIFS(Monatsexporte[Saldo],Monatsexporte[Jahr],$B$4,Monatsexporte[Monat],12,Monatsexporte[Konto],B142)</f>
        <v>0</v>
      </c>
      <c r="AP142" s="15">
        <f>SUMIFS(Monatsexporte[Saldo],Monatsexporte[Jahr],$B$5,Monatsexporte[Monat],12,Monatsexporte[Konto],B142)</f>
        <v>0</v>
      </c>
      <c r="AQ142" s="22">
        <f t="shared" si="69"/>
        <v>0</v>
      </c>
    </row>
    <row r="143" spans="1:43" hidden="1" outlineLevel="1" x14ac:dyDescent="0.45">
      <c r="A143" s="10" t="s">
        <v>535</v>
      </c>
      <c r="B143" s="39">
        <v>85015053</v>
      </c>
      <c r="C143" s="15">
        <v>6301</v>
      </c>
      <c r="D143" s="15">
        <f ca="1">SUMIFS(Monatsexporte[Saldo],Monatsexporte[Jahr],$B$4,Monatsexporte[Monat],"&lt;="&amp;$B$8,Monatsexporte[Konto],B143)</f>
        <v>18903.300000000003</v>
      </c>
      <c r="E143" s="15">
        <f ca="1">SUMIFS(Monatsexporte[Saldo],Monatsexporte[Jahr],$B$5,Monatsexporte[Monat],"&lt;="&amp;$B$8,Monatsexporte[Konto],B143)</f>
        <v>0</v>
      </c>
      <c r="F143" s="15">
        <f t="shared" ca="1" si="56"/>
        <v>18903.300000000003</v>
      </c>
      <c r="G143" s="22">
        <f t="shared" ca="1" si="57"/>
        <v>0</v>
      </c>
      <c r="H143" s="15">
        <f>SUMIFS(Monatsexporte[Saldo],Monatsexporte[Jahr],$B$4,Monatsexporte[Monat],1,Monatsexporte[Konto],B143)</f>
        <v>0</v>
      </c>
      <c r="I143" s="15">
        <f>SUMIFS(Monatsexporte[Saldo],Monatsexporte[Jahr],$B$5,Monatsexporte[Monat],1,Monatsexporte[Konto],B143)</f>
        <v>0</v>
      </c>
      <c r="J143" s="22">
        <f t="shared" si="58"/>
        <v>0</v>
      </c>
      <c r="K143" s="15">
        <f>SUMIFS(Monatsexporte[Saldo],Monatsexporte[Jahr],$B$4,Monatsexporte[Monat],2,Monatsexporte[Konto],B143)</f>
        <v>0</v>
      </c>
      <c r="L143" s="15">
        <f>SUMIFS(Monatsexporte[Saldo],Monatsexporte[Jahr],$B$5,Monatsexporte[Monat],2,Monatsexporte[Konto],B143)</f>
        <v>0</v>
      </c>
      <c r="M143" s="22">
        <f t="shared" si="59"/>
        <v>0</v>
      </c>
      <c r="N143" s="15">
        <f>SUMIFS(Monatsexporte[Saldo],Monatsexporte[Jahr],$B$4,Monatsexporte[Monat],3,Monatsexporte[Konto],B143)</f>
        <v>6301.1</v>
      </c>
      <c r="O143" s="15">
        <f>SUMIFS(Monatsexporte[Saldo],Monatsexporte[Jahr],$B$5,Monatsexporte[Monat],3,Monatsexporte[Konto],B143)</f>
        <v>0</v>
      </c>
      <c r="P143" s="22">
        <f t="shared" si="60"/>
        <v>0</v>
      </c>
      <c r="Q143" s="15">
        <f>SUMIFS(Monatsexporte[Saldo],Monatsexporte[Jahr],$B$4,Monatsexporte[Monat],4,Monatsexporte[Konto],B143)</f>
        <v>6301.1</v>
      </c>
      <c r="R143" s="15">
        <f>SUMIFS(Monatsexporte[Saldo],Monatsexporte[Jahr],$B$5,Monatsexporte[Monat],4,Monatsexporte[Konto],B143)</f>
        <v>0</v>
      </c>
      <c r="S143" s="22">
        <f t="shared" si="61"/>
        <v>0</v>
      </c>
      <c r="T143" s="15">
        <f>SUMIFS(Monatsexporte[Saldo],Monatsexporte[Jahr],$B$4,Monatsexporte[Monat],5,Monatsexporte[Konto],B143)</f>
        <v>6301.1</v>
      </c>
      <c r="U143" s="15">
        <f>SUMIFS(Monatsexporte[Saldo],Monatsexporte[Jahr],$B$5,Monatsexporte[Monat],5,Monatsexporte[Konto],B143)</f>
        <v>0</v>
      </c>
      <c r="V143" s="22">
        <f t="shared" si="62"/>
        <v>0</v>
      </c>
      <c r="W143" s="15">
        <f>SUMIFS(Monatsexporte[Saldo],Monatsexporte[Jahr],$B$4,Monatsexporte[Monat],6,Monatsexporte[Konto],B143)</f>
        <v>0</v>
      </c>
      <c r="X143" s="15">
        <f>SUMIFS(Monatsexporte[Saldo],Monatsexporte[Jahr],$B$5,Monatsexporte[Monat],6,Monatsexporte[Konto],B143)</f>
        <v>0</v>
      </c>
      <c r="Y143" s="22">
        <f t="shared" si="63"/>
        <v>0</v>
      </c>
      <c r="Z143" s="15">
        <f>SUMIFS(Monatsexporte[Saldo],Monatsexporte[Jahr],$B$4,Monatsexporte[Monat],7,Monatsexporte[Konto],B143)</f>
        <v>0</v>
      </c>
      <c r="AA143" s="15">
        <f>SUMIFS(Monatsexporte[Saldo],Monatsexporte[Jahr],$B$5,Monatsexporte[Monat],7,Monatsexporte[Konto],B143)</f>
        <v>0</v>
      </c>
      <c r="AB143" s="22">
        <f t="shared" si="64"/>
        <v>0</v>
      </c>
      <c r="AC143" s="15">
        <f>SUMIFS(Monatsexporte[Saldo],Monatsexporte[Jahr],$B$4,Monatsexporte[Monat],8,Monatsexporte[Konto],B143)</f>
        <v>0</v>
      </c>
      <c r="AD143" s="15">
        <f>SUMIFS(Monatsexporte[Saldo],Monatsexporte[Jahr],$B$5,Monatsexporte[Monat],8,Monatsexporte[Konto],B143)</f>
        <v>0</v>
      </c>
      <c r="AE143" s="22">
        <f t="shared" si="65"/>
        <v>0</v>
      </c>
      <c r="AF143" s="15">
        <f>SUMIFS(Monatsexporte[Saldo],Monatsexporte[Jahr],$B$4,Monatsexporte[Monat],9,Monatsexporte[Konto],B143)</f>
        <v>0</v>
      </c>
      <c r="AG143" s="15">
        <f>SUMIFS(Monatsexporte[Saldo],Monatsexporte[Jahr],$B$5,Monatsexporte[Monat],9,Monatsexporte[Konto],B143)</f>
        <v>0</v>
      </c>
      <c r="AH143" s="22">
        <f t="shared" si="66"/>
        <v>0</v>
      </c>
      <c r="AI143" s="15">
        <f>SUMIFS(Monatsexporte[Saldo],Monatsexporte[Jahr],$B$4,Monatsexporte[Monat],10,Monatsexporte[Konto],B143)</f>
        <v>0</v>
      </c>
      <c r="AJ143" s="15">
        <f>SUMIFS(Monatsexporte[Saldo],Monatsexporte[Jahr],$B$5,Monatsexporte[Monat],10,Monatsexporte[Konto],B143)</f>
        <v>0</v>
      </c>
      <c r="AK143" s="22">
        <f t="shared" si="67"/>
        <v>0</v>
      </c>
      <c r="AL143" s="15">
        <f>SUMIFS(Monatsexporte[Saldo],Monatsexporte[Jahr],$B$4,Monatsexporte[Monat],11,Monatsexporte[Konto],B143)</f>
        <v>0</v>
      </c>
      <c r="AM143" s="15">
        <f>SUMIFS(Monatsexporte[Saldo],Monatsexporte[Jahr],$B$5,Monatsexporte[Monat],11,Monatsexporte[Konto],B143)</f>
        <v>0</v>
      </c>
      <c r="AN143" s="22">
        <f t="shared" si="68"/>
        <v>0</v>
      </c>
      <c r="AO143" s="15">
        <f>SUMIFS(Monatsexporte[Saldo],Monatsexporte[Jahr],$B$4,Monatsexporte[Monat],12,Monatsexporte[Konto],B143)</f>
        <v>0</v>
      </c>
      <c r="AP143" s="15">
        <f>SUMIFS(Monatsexporte[Saldo],Monatsexporte[Jahr],$B$5,Monatsexporte[Monat],12,Monatsexporte[Konto],B143)</f>
        <v>0</v>
      </c>
      <c r="AQ143" s="22">
        <f t="shared" si="69"/>
        <v>0</v>
      </c>
    </row>
    <row r="144" spans="1:43" hidden="1" outlineLevel="1" x14ac:dyDescent="0.45">
      <c r="A144" s="10" t="s">
        <v>536</v>
      </c>
      <c r="B144" s="39">
        <v>85015090</v>
      </c>
      <c r="C144" s="15">
        <v>2960</v>
      </c>
      <c r="D144" s="15">
        <f ca="1">SUMIFS(Monatsexporte[Saldo],Monatsexporte[Jahr],$B$4,Monatsexporte[Monat],"&lt;="&amp;$B$8,Monatsexporte[Konto],B144)</f>
        <v>8880.7800000000007</v>
      </c>
      <c r="E144" s="15">
        <f ca="1">SUMIFS(Monatsexporte[Saldo],Monatsexporte[Jahr],$B$5,Monatsexporte[Monat],"&lt;="&amp;$B$8,Monatsexporte[Konto],B144)</f>
        <v>0</v>
      </c>
      <c r="F144" s="15">
        <f t="shared" ca="1" si="56"/>
        <v>8880.7800000000007</v>
      </c>
      <c r="G144" s="22">
        <f t="shared" ca="1" si="57"/>
        <v>0</v>
      </c>
      <c r="H144" s="15">
        <f>SUMIFS(Monatsexporte[Saldo],Monatsexporte[Jahr],$B$4,Monatsexporte[Monat],1,Monatsexporte[Konto],B144)</f>
        <v>0</v>
      </c>
      <c r="I144" s="15">
        <f>SUMIFS(Monatsexporte[Saldo],Monatsexporte[Jahr],$B$5,Monatsexporte[Monat],1,Monatsexporte[Konto],B144)</f>
        <v>0</v>
      </c>
      <c r="J144" s="22">
        <f t="shared" si="58"/>
        <v>0</v>
      </c>
      <c r="K144" s="15">
        <f>SUMIFS(Monatsexporte[Saldo],Monatsexporte[Jahr],$B$4,Monatsexporte[Monat],2,Monatsexporte[Konto],B144)</f>
        <v>0</v>
      </c>
      <c r="L144" s="15">
        <f>SUMIFS(Monatsexporte[Saldo],Monatsexporte[Jahr],$B$5,Monatsexporte[Monat],2,Monatsexporte[Konto],B144)</f>
        <v>0</v>
      </c>
      <c r="M144" s="22">
        <f t="shared" si="59"/>
        <v>0</v>
      </c>
      <c r="N144" s="15">
        <f>SUMIFS(Monatsexporte[Saldo],Monatsexporte[Jahr],$B$4,Monatsexporte[Monat],3,Monatsexporte[Konto],B144)</f>
        <v>2960.26</v>
      </c>
      <c r="O144" s="15">
        <f>SUMIFS(Monatsexporte[Saldo],Monatsexporte[Jahr],$B$5,Monatsexporte[Monat],3,Monatsexporte[Konto],B144)</f>
        <v>0</v>
      </c>
      <c r="P144" s="22">
        <f t="shared" si="60"/>
        <v>0</v>
      </c>
      <c r="Q144" s="15">
        <f>SUMIFS(Monatsexporte[Saldo],Monatsexporte[Jahr],$B$4,Monatsexporte[Monat],4,Monatsexporte[Konto],B144)</f>
        <v>2960.26</v>
      </c>
      <c r="R144" s="15">
        <f>SUMIFS(Monatsexporte[Saldo],Monatsexporte[Jahr],$B$5,Monatsexporte[Monat],4,Monatsexporte[Konto],B144)</f>
        <v>0</v>
      </c>
      <c r="S144" s="22">
        <f t="shared" si="61"/>
        <v>0</v>
      </c>
      <c r="T144" s="15">
        <f>SUMIFS(Monatsexporte[Saldo],Monatsexporte[Jahr],$B$4,Monatsexporte[Monat],5,Monatsexporte[Konto],B144)</f>
        <v>2960.26</v>
      </c>
      <c r="U144" s="15">
        <f>SUMIFS(Monatsexporte[Saldo],Monatsexporte[Jahr],$B$5,Monatsexporte[Monat],5,Monatsexporte[Konto],B144)</f>
        <v>0</v>
      </c>
      <c r="V144" s="22">
        <f t="shared" si="62"/>
        <v>0</v>
      </c>
      <c r="W144" s="15">
        <f>SUMIFS(Monatsexporte[Saldo],Monatsexporte[Jahr],$B$4,Monatsexporte[Monat],6,Monatsexporte[Konto],B144)</f>
        <v>0</v>
      </c>
      <c r="X144" s="15">
        <f>SUMIFS(Monatsexporte[Saldo],Monatsexporte[Jahr],$B$5,Monatsexporte[Monat],6,Monatsexporte[Konto],B144)</f>
        <v>0</v>
      </c>
      <c r="Y144" s="22">
        <f t="shared" si="63"/>
        <v>0</v>
      </c>
      <c r="Z144" s="15">
        <f>SUMIFS(Monatsexporte[Saldo],Monatsexporte[Jahr],$B$4,Monatsexporte[Monat],7,Monatsexporte[Konto],B144)</f>
        <v>0</v>
      </c>
      <c r="AA144" s="15">
        <f>SUMIFS(Monatsexporte[Saldo],Monatsexporte[Jahr],$B$5,Monatsexporte[Monat],7,Monatsexporte[Konto],B144)</f>
        <v>0</v>
      </c>
      <c r="AB144" s="22">
        <f t="shared" si="64"/>
        <v>0</v>
      </c>
      <c r="AC144" s="15">
        <f>SUMIFS(Monatsexporte[Saldo],Monatsexporte[Jahr],$B$4,Monatsexporte[Monat],8,Monatsexporte[Konto],B144)</f>
        <v>0</v>
      </c>
      <c r="AD144" s="15">
        <f>SUMIFS(Monatsexporte[Saldo],Monatsexporte[Jahr],$B$5,Monatsexporte[Monat],8,Monatsexporte[Konto],B144)</f>
        <v>0</v>
      </c>
      <c r="AE144" s="22">
        <f t="shared" si="65"/>
        <v>0</v>
      </c>
      <c r="AF144" s="15">
        <f>SUMIFS(Monatsexporte[Saldo],Monatsexporte[Jahr],$B$4,Monatsexporte[Monat],9,Monatsexporte[Konto],B144)</f>
        <v>0</v>
      </c>
      <c r="AG144" s="15">
        <f>SUMIFS(Monatsexporte[Saldo],Monatsexporte[Jahr],$B$5,Monatsexporte[Monat],9,Monatsexporte[Konto],B144)</f>
        <v>0</v>
      </c>
      <c r="AH144" s="22">
        <f t="shared" si="66"/>
        <v>0</v>
      </c>
      <c r="AI144" s="15">
        <f>SUMIFS(Monatsexporte[Saldo],Monatsexporte[Jahr],$B$4,Monatsexporte[Monat],10,Monatsexporte[Konto],B144)</f>
        <v>0</v>
      </c>
      <c r="AJ144" s="15">
        <f>SUMIFS(Monatsexporte[Saldo],Monatsexporte[Jahr],$B$5,Monatsexporte[Monat],10,Monatsexporte[Konto],B144)</f>
        <v>0</v>
      </c>
      <c r="AK144" s="22">
        <f t="shared" si="67"/>
        <v>0</v>
      </c>
      <c r="AL144" s="15">
        <f>SUMIFS(Monatsexporte[Saldo],Monatsexporte[Jahr],$B$4,Monatsexporte[Monat],11,Monatsexporte[Konto],B144)</f>
        <v>0</v>
      </c>
      <c r="AM144" s="15">
        <f>SUMIFS(Monatsexporte[Saldo],Monatsexporte[Jahr],$B$5,Monatsexporte[Monat],11,Monatsexporte[Konto],B144)</f>
        <v>0</v>
      </c>
      <c r="AN144" s="22">
        <f t="shared" si="68"/>
        <v>0</v>
      </c>
      <c r="AO144" s="15">
        <f>SUMIFS(Monatsexporte[Saldo],Monatsexporte[Jahr],$B$4,Monatsexporte[Monat],12,Monatsexporte[Konto],B144)</f>
        <v>0</v>
      </c>
      <c r="AP144" s="15">
        <f>SUMIFS(Monatsexporte[Saldo],Monatsexporte[Jahr],$B$5,Monatsexporte[Monat],12,Monatsexporte[Konto],B144)</f>
        <v>0</v>
      </c>
      <c r="AQ144" s="22">
        <f t="shared" si="69"/>
        <v>0</v>
      </c>
    </row>
    <row r="145" spans="1:43" collapsed="1" x14ac:dyDescent="0.45">
      <c r="A145" s="1" t="s">
        <v>529</v>
      </c>
      <c r="B145" s="39" t="s">
        <v>530</v>
      </c>
      <c r="C145" s="15">
        <f>SUM(C139:C144)</f>
        <v>9559</v>
      </c>
      <c r="D145" s="15">
        <f ca="1">SUM(D139:D144)</f>
        <v>28685.280000000006</v>
      </c>
      <c r="E145" s="15">
        <f ca="1">SUM(E139:E144)</f>
        <v>0</v>
      </c>
      <c r="F145" s="15">
        <f t="shared" ca="1" si="56"/>
        <v>28685.280000000006</v>
      </c>
      <c r="G145" s="22">
        <f t="shared" ca="1" si="57"/>
        <v>0</v>
      </c>
      <c r="H145" s="15">
        <f>SUM(H139:H144)</f>
        <v>0</v>
      </c>
      <c r="I145" s="15">
        <f>SUM(I139:I144)</f>
        <v>0</v>
      </c>
      <c r="J145" s="22">
        <f t="shared" si="58"/>
        <v>0</v>
      </c>
      <c r="K145" s="15">
        <f>SUM(K139:K144)</f>
        <v>0</v>
      </c>
      <c r="L145" s="15">
        <f>SUM(L139:L144)</f>
        <v>0</v>
      </c>
      <c r="M145" s="22">
        <f t="shared" si="59"/>
        <v>0</v>
      </c>
      <c r="N145" s="15">
        <f>SUM(N139:N144)</f>
        <v>9561.76</v>
      </c>
      <c r="O145" s="15">
        <f>SUM(O139:O144)</f>
        <v>0</v>
      </c>
      <c r="P145" s="22">
        <f t="shared" si="60"/>
        <v>0</v>
      </c>
      <c r="Q145" s="15">
        <f>SUM(Q139:Q144)</f>
        <v>9561.76</v>
      </c>
      <c r="R145" s="15">
        <f>SUM(R139:R144)</f>
        <v>0</v>
      </c>
      <c r="S145" s="22">
        <f t="shared" si="61"/>
        <v>0</v>
      </c>
      <c r="T145" s="15">
        <f>SUM(T139:T144)</f>
        <v>9561.76</v>
      </c>
      <c r="U145" s="15">
        <f>SUM(U139:U144)</f>
        <v>0</v>
      </c>
      <c r="V145" s="22">
        <f t="shared" si="62"/>
        <v>0</v>
      </c>
      <c r="W145" s="15">
        <f>SUM(W139:W144)</f>
        <v>0</v>
      </c>
      <c r="X145" s="15">
        <f>SUM(X139:X144)</f>
        <v>0</v>
      </c>
      <c r="Y145" s="22">
        <f t="shared" si="63"/>
        <v>0</v>
      </c>
      <c r="Z145" s="15">
        <f>SUM(Z139:Z144)</f>
        <v>0</v>
      </c>
      <c r="AA145" s="15">
        <f>SUM(AA139:AA144)</f>
        <v>0</v>
      </c>
      <c r="AB145" s="22">
        <f t="shared" si="64"/>
        <v>0</v>
      </c>
      <c r="AC145" s="15">
        <f>SUM(AC139:AC144)</f>
        <v>0</v>
      </c>
      <c r="AD145" s="15">
        <f>SUM(AD139:AD144)</f>
        <v>0</v>
      </c>
      <c r="AE145" s="22">
        <f t="shared" si="65"/>
        <v>0</v>
      </c>
      <c r="AF145" s="15">
        <f>SUM(AF139:AF144)</f>
        <v>0</v>
      </c>
      <c r="AG145" s="15">
        <f>SUM(AG139:AG144)</f>
        <v>0</v>
      </c>
      <c r="AH145" s="22">
        <f t="shared" si="66"/>
        <v>0</v>
      </c>
      <c r="AI145" s="15">
        <f>SUM(AI139:AI144)</f>
        <v>0</v>
      </c>
      <c r="AJ145" s="15">
        <f>SUM(AJ139:AJ144)</f>
        <v>0</v>
      </c>
      <c r="AK145" s="22">
        <f t="shared" si="67"/>
        <v>0</v>
      </c>
      <c r="AL145" s="15">
        <f>SUM(AL139:AL144)</f>
        <v>0</v>
      </c>
      <c r="AM145" s="15">
        <f>SUM(AM139:AM144)</f>
        <v>0</v>
      </c>
      <c r="AN145" s="22">
        <f t="shared" si="68"/>
        <v>0</v>
      </c>
      <c r="AO145" s="15">
        <f>SUM(AO139:AO144)</f>
        <v>0</v>
      </c>
      <c r="AP145" s="15">
        <f>SUM(AP139:AP144)</f>
        <v>0</v>
      </c>
      <c r="AQ145" s="22">
        <f t="shared" si="69"/>
        <v>0</v>
      </c>
    </row>
    <row r="146" spans="1:43" x14ac:dyDescent="0.45">
      <c r="C146" s="15"/>
      <c r="D146" s="15"/>
      <c r="E146" s="15"/>
      <c r="F146" s="15"/>
      <c r="G146" s="22"/>
      <c r="H146" s="15"/>
      <c r="I146" s="15"/>
      <c r="J146" s="22"/>
      <c r="K146" s="15"/>
      <c r="L146" s="15"/>
      <c r="M146" s="22"/>
      <c r="N146" s="15"/>
      <c r="O146" s="15"/>
      <c r="P146" s="22"/>
      <c r="Q146" s="15"/>
      <c r="R146" s="15"/>
      <c r="S146" s="22"/>
      <c r="T146" s="15"/>
      <c r="U146" s="15"/>
      <c r="V146" s="22"/>
      <c r="W146" s="15"/>
      <c r="X146" s="15"/>
      <c r="Y146" s="22"/>
      <c r="Z146" s="15"/>
      <c r="AA146" s="15"/>
      <c r="AB146" s="22"/>
      <c r="AC146" s="15"/>
      <c r="AD146" s="15"/>
      <c r="AE146" s="22"/>
      <c r="AF146" s="15"/>
      <c r="AG146" s="15"/>
      <c r="AH146" s="22"/>
      <c r="AI146" s="15"/>
      <c r="AJ146" s="15"/>
      <c r="AK146" s="22"/>
      <c r="AL146" s="15"/>
      <c r="AM146" s="15"/>
      <c r="AN146" s="22"/>
      <c r="AO146" s="15"/>
      <c r="AP146" s="15"/>
      <c r="AQ146" s="22"/>
    </row>
    <row r="147" spans="1:43" x14ac:dyDescent="0.45">
      <c r="A147" s="36" t="s">
        <v>544</v>
      </c>
      <c r="B147" s="48"/>
      <c r="C147" s="37"/>
      <c r="D147" s="37"/>
      <c r="E147" s="37"/>
      <c r="F147" s="37"/>
      <c r="G147" s="38"/>
      <c r="H147" s="37"/>
      <c r="I147" s="37"/>
      <c r="J147" s="38"/>
      <c r="K147" s="37"/>
      <c r="L147" s="37"/>
      <c r="M147" s="38"/>
      <c r="N147" s="37"/>
      <c r="O147" s="37"/>
      <c r="P147" s="38"/>
      <c r="Q147" s="37"/>
      <c r="R147" s="37"/>
      <c r="S147" s="38"/>
      <c r="T147" s="37"/>
      <c r="U147" s="37"/>
      <c r="V147" s="38"/>
      <c r="W147" s="37"/>
      <c r="X147" s="37"/>
      <c r="Y147" s="38"/>
      <c r="Z147" s="37"/>
      <c r="AA147" s="37"/>
      <c r="AB147" s="38"/>
      <c r="AC147" s="37"/>
      <c r="AD147" s="37"/>
      <c r="AE147" s="38"/>
      <c r="AF147" s="37"/>
      <c r="AG147" s="37"/>
      <c r="AH147" s="38"/>
      <c r="AI147" s="37"/>
      <c r="AJ147" s="37"/>
      <c r="AK147" s="38"/>
      <c r="AL147" s="37"/>
      <c r="AM147" s="37"/>
      <c r="AN147" s="38"/>
      <c r="AO147" s="37"/>
      <c r="AP147" s="37"/>
      <c r="AQ147" s="38"/>
    </row>
    <row r="148" spans="1:43" outlineLevel="1" x14ac:dyDescent="0.45">
      <c r="A148" s="10" t="s">
        <v>545</v>
      </c>
      <c r="B148" s="39">
        <v>4401015</v>
      </c>
      <c r="C148" s="15">
        <v>-822</v>
      </c>
      <c r="D148" s="15">
        <f ca="1">SUMIFS(Monatsexporte[Saldo],Monatsexporte[Jahr],$B$4,Monatsexporte[Monat],"&lt;="&amp;$B$8,Monatsexporte[Konto],B148)</f>
        <v>-2466</v>
      </c>
      <c r="E148" s="15">
        <f ca="1">SUMIFS(Monatsexporte[Saldo],Monatsexporte[Jahr],$B$5,Monatsexporte[Monat],"&lt;="&amp;$B$8,Monatsexporte[Konto],B148)</f>
        <v>0</v>
      </c>
      <c r="F148" s="15">
        <f t="shared" ref="F148:F154" ca="1" si="70">D148-E148</f>
        <v>-2466</v>
      </c>
      <c r="G148" s="22">
        <f t="shared" ref="G148:G154" ca="1" si="71">IF(E148=0,0,D148/E148-1)</f>
        <v>0</v>
      </c>
      <c r="H148" s="15">
        <f>SUMIFS(Monatsexporte[Saldo],Monatsexporte[Jahr],$B$4,Monatsexporte[Monat],1,Monatsexporte[Konto],B148)</f>
        <v>0</v>
      </c>
      <c r="I148" s="15">
        <f>SUMIFS(Monatsexporte[Saldo],Monatsexporte[Jahr],$B$5,Monatsexporte[Monat],1,Monatsexporte[Konto],B148)</f>
        <v>0</v>
      </c>
      <c r="J148" s="22">
        <f t="shared" ref="J148:J154" si="72">IF(I148=0,0,H148/I148-1)</f>
        <v>0</v>
      </c>
      <c r="K148" s="15">
        <f>SUMIFS(Monatsexporte[Saldo],Monatsexporte[Jahr],$B$4,Monatsexporte[Monat],2,Monatsexporte[Konto],B148)</f>
        <v>0</v>
      </c>
      <c r="L148" s="15">
        <f>SUMIFS(Monatsexporte[Saldo],Monatsexporte[Jahr],$B$5,Monatsexporte[Monat],2,Monatsexporte[Konto],B148)</f>
        <v>0</v>
      </c>
      <c r="M148" s="22">
        <f t="shared" ref="M148:M154" si="73">IF(L148=0,0,K148/L148-1)</f>
        <v>0</v>
      </c>
      <c r="N148" s="15">
        <f>SUMIFS(Monatsexporte[Saldo],Monatsexporte[Jahr],$B$4,Monatsexporte[Monat],3,Monatsexporte[Konto],B148)</f>
        <v>-822</v>
      </c>
      <c r="O148" s="15">
        <f>SUMIFS(Monatsexporte[Saldo],Monatsexporte[Jahr],$B$5,Monatsexporte[Monat],3,Monatsexporte[Konto],B148)</f>
        <v>0</v>
      </c>
      <c r="P148" s="22">
        <f t="shared" ref="P148:P154" si="74">IF(O148=0,0,N148/O148-1)</f>
        <v>0</v>
      </c>
      <c r="Q148" s="15">
        <f>SUMIFS(Monatsexporte[Saldo],Monatsexporte[Jahr],$B$4,Monatsexporte[Monat],4,Monatsexporte[Konto],B148)</f>
        <v>-822</v>
      </c>
      <c r="R148" s="15">
        <f>SUMIFS(Monatsexporte[Saldo],Monatsexporte[Jahr],$B$5,Monatsexporte[Monat],4,Monatsexporte[Konto],B148)</f>
        <v>0</v>
      </c>
      <c r="S148" s="22">
        <f t="shared" ref="S148:S154" si="75">IF(R148=0,0,Q148/R148-1)</f>
        <v>0</v>
      </c>
      <c r="T148" s="15">
        <f>SUMIFS(Monatsexporte[Saldo],Monatsexporte[Jahr],$B$4,Monatsexporte[Monat],5,Monatsexporte[Konto],B148)</f>
        <v>-822</v>
      </c>
      <c r="U148" s="15">
        <f>SUMIFS(Monatsexporte[Saldo],Monatsexporte[Jahr],$B$5,Monatsexporte[Monat],5,Monatsexporte[Konto],B148)</f>
        <v>0</v>
      </c>
      <c r="V148" s="22">
        <f t="shared" ref="V148:V154" si="76">IF(U148=0,0,T148/U148-1)</f>
        <v>0</v>
      </c>
      <c r="W148" s="15">
        <f>SUMIFS(Monatsexporte[Saldo],Monatsexporte[Jahr],$B$4,Monatsexporte[Monat],6,Monatsexporte[Konto],B148)</f>
        <v>0</v>
      </c>
      <c r="X148" s="15">
        <f>SUMIFS(Monatsexporte[Saldo],Monatsexporte[Jahr],$B$5,Monatsexporte[Monat],6,Monatsexporte[Konto],B148)</f>
        <v>0</v>
      </c>
      <c r="Y148" s="22">
        <f t="shared" ref="Y148:Y154" si="77">IF(X148=0,0,W148/X148-1)</f>
        <v>0</v>
      </c>
      <c r="Z148" s="15">
        <f>SUMIFS(Monatsexporte[Saldo],Monatsexporte[Jahr],$B$4,Monatsexporte[Monat],7,Monatsexporte[Konto],B148)</f>
        <v>0</v>
      </c>
      <c r="AA148" s="15">
        <f>SUMIFS(Monatsexporte[Saldo],Monatsexporte[Jahr],$B$5,Monatsexporte[Monat],7,Monatsexporte[Konto],B148)</f>
        <v>0</v>
      </c>
      <c r="AB148" s="22">
        <f t="shared" ref="AB148:AB154" si="78">IF(AA148=0,0,Z148/AA148-1)</f>
        <v>0</v>
      </c>
      <c r="AC148" s="15">
        <f>SUMIFS(Monatsexporte[Saldo],Monatsexporte[Jahr],$B$4,Monatsexporte[Monat],8,Monatsexporte[Konto],B148)</f>
        <v>0</v>
      </c>
      <c r="AD148" s="15">
        <f>SUMIFS(Monatsexporte[Saldo],Monatsexporte[Jahr],$B$5,Monatsexporte[Monat],8,Monatsexporte[Konto],B148)</f>
        <v>0</v>
      </c>
      <c r="AE148" s="22">
        <f t="shared" ref="AE148:AE154" si="79">IF(AD148=0,0,AC148/AD148-1)</f>
        <v>0</v>
      </c>
      <c r="AF148" s="15">
        <f>SUMIFS(Monatsexporte[Saldo],Monatsexporte[Jahr],$B$4,Monatsexporte[Monat],9,Monatsexporte[Konto],B148)</f>
        <v>0</v>
      </c>
      <c r="AG148" s="15">
        <f>SUMIFS(Monatsexporte[Saldo],Monatsexporte[Jahr],$B$5,Monatsexporte[Monat],9,Monatsexporte[Konto],B148)</f>
        <v>0</v>
      </c>
      <c r="AH148" s="22">
        <f t="shared" ref="AH148:AH154" si="80">IF(AG148=0,0,AF148/AG148-1)</f>
        <v>0</v>
      </c>
      <c r="AI148" s="15">
        <f>SUMIFS(Monatsexporte[Saldo],Monatsexporte[Jahr],$B$4,Monatsexporte[Monat],10,Monatsexporte[Konto],B148)</f>
        <v>0</v>
      </c>
      <c r="AJ148" s="15">
        <f>SUMIFS(Monatsexporte[Saldo],Monatsexporte[Jahr],$B$5,Monatsexporte[Monat],10,Monatsexporte[Konto],B148)</f>
        <v>0</v>
      </c>
      <c r="AK148" s="22">
        <f t="shared" ref="AK148:AK154" si="81">IF(AJ148=0,0,AI148/AJ148-1)</f>
        <v>0</v>
      </c>
      <c r="AL148" s="15">
        <f>SUMIFS(Monatsexporte[Saldo],Monatsexporte[Jahr],$B$4,Monatsexporte[Monat],11,Monatsexporte[Konto],B148)</f>
        <v>0</v>
      </c>
      <c r="AM148" s="15">
        <f>SUMIFS(Monatsexporte[Saldo],Monatsexporte[Jahr],$B$5,Monatsexporte[Monat],11,Monatsexporte[Konto],B148)</f>
        <v>0</v>
      </c>
      <c r="AN148" s="22">
        <f t="shared" ref="AN148:AN154" si="82">IF(AM148=0,0,AL148/AM148-1)</f>
        <v>0</v>
      </c>
      <c r="AO148" s="15">
        <f>SUMIFS(Monatsexporte[Saldo],Monatsexporte[Jahr],$B$4,Monatsexporte[Monat],12,Monatsexporte[Konto],B148)</f>
        <v>0</v>
      </c>
      <c r="AP148" s="15">
        <f>SUMIFS(Monatsexporte[Saldo],Monatsexporte[Jahr],$B$5,Monatsexporte[Monat],12,Monatsexporte[Konto],B148)</f>
        <v>0</v>
      </c>
      <c r="AQ148" s="22">
        <f t="shared" ref="AQ148:AQ154" si="83">IF(AP148=0,0,AO148/AP148-1)</f>
        <v>0</v>
      </c>
    </row>
    <row r="149" spans="1:43" outlineLevel="1" x14ac:dyDescent="0.45">
      <c r="A149" s="10" t="s">
        <v>546</v>
      </c>
      <c r="B149" s="39">
        <v>440101510</v>
      </c>
      <c r="C149" s="15">
        <v>0</v>
      </c>
      <c r="D149" s="15">
        <f ca="1">SUMIFS(Monatsexporte[Saldo],Monatsexporte[Jahr],$B$4,Monatsexporte[Monat],"&lt;="&amp;$B$8,Monatsexporte[Konto],B149)</f>
        <v>-2466</v>
      </c>
      <c r="E149" s="15">
        <f ca="1">SUMIFS(Monatsexporte[Saldo],Monatsexporte[Jahr],$B$5,Monatsexporte[Monat],"&lt;="&amp;$B$8,Monatsexporte[Konto],B149)</f>
        <v>0</v>
      </c>
      <c r="F149" s="15">
        <f t="shared" ca="1" si="70"/>
        <v>-2466</v>
      </c>
      <c r="G149" s="22">
        <f t="shared" ca="1" si="71"/>
        <v>0</v>
      </c>
      <c r="H149" s="15">
        <f>SUMIFS(Monatsexporte[Saldo],Monatsexporte[Jahr],$B$4,Monatsexporte[Monat],1,Monatsexporte[Konto],B149)</f>
        <v>0</v>
      </c>
      <c r="I149" s="15">
        <f>SUMIFS(Monatsexporte[Saldo],Monatsexporte[Jahr],$B$5,Monatsexporte[Monat],1,Monatsexporte[Konto],B149)</f>
        <v>0</v>
      </c>
      <c r="J149" s="22">
        <f t="shared" si="72"/>
        <v>0</v>
      </c>
      <c r="K149" s="15">
        <f>SUMIFS(Monatsexporte[Saldo],Monatsexporte[Jahr],$B$4,Monatsexporte[Monat],2,Monatsexporte[Konto],B149)</f>
        <v>0</v>
      </c>
      <c r="L149" s="15">
        <f>SUMIFS(Monatsexporte[Saldo],Monatsexporte[Jahr],$B$5,Monatsexporte[Monat],2,Monatsexporte[Konto],B149)</f>
        <v>0</v>
      </c>
      <c r="M149" s="22">
        <f t="shared" si="73"/>
        <v>0</v>
      </c>
      <c r="N149" s="15">
        <f>SUMIFS(Monatsexporte[Saldo],Monatsexporte[Jahr],$B$4,Monatsexporte[Monat],3,Monatsexporte[Konto],B149)</f>
        <v>-822</v>
      </c>
      <c r="O149" s="15">
        <f>SUMIFS(Monatsexporte[Saldo],Monatsexporte[Jahr],$B$5,Monatsexporte[Monat],3,Monatsexporte[Konto],B149)</f>
        <v>0</v>
      </c>
      <c r="P149" s="22">
        <f t="shared" si="74"/>
        <v>0</v>
      </c>
      <c r="Q149" s="15">
        <f>SUMIFS(Monatsexporte[Saldo],Monatsexporte[Jahr],$B$4,Monatsexporte[Monat],4,Monatsexporte[Konto],B149)</f>
        <v>-822</v>
      </c>
      <c r="R149" s="15">
        <f>SUMIFS(Monatsexporte[Saldo],Monatsexporte[Jahr],$B$5,Monatsexporte[Monat],4,Monatsexporte[Konto],B149)</f>
        <v>0</v>
      </c>
      <c r="S149" s="22">
        <f t="shared" si="75"/>
        <v>0</v>
      </c>
      <c r="T149" s="15">
        <f>SUMIFS(Monatsexporte[Saldo],Monatsexporte[Jahr],$B$4,Monatsexporte[Monat],5,Monatsexporte[Konto],B149)</f>
        <v>-822</v>
      </c>
      <c r="U149" s="15">
        <f>SUMIFS(Monatsexporte[Saldo],Monatsexporte[Jahr],$B$5,Monatsexporte[Monat],5,Monatsexporte[Konto],B149)</f>
        <v>0</v>
      </c>
      <c r="V149" s="22">
        <f t="shared" si="76"/>
        <v>0</v>
      </c>
      <c r="W149" s="15">
        <f>SUMIFS(Monatsexporte[Saldo],Monatsexporte[Jahr],$B$4,Monatsexporte[Monat],6,Monatsexporte[Konto],B149)</f>
        <v>0</v>
      </c>
      <c r="X149" s="15">
        <f>SUMIFS(Monatsexporte[Saldo],Monatsexporte[Jahr],$B$5,Monatsexporte[Monat],6,Monatsexporte[Konto],B149)</f>
        <v>0</v>
      </c>
      <c r="Y149" s="22">
        <f t="shared" si="77"/>
        <v>0</v>
      </c>
      <c r="Z149" s="15">
        <f>SUMIFS(Monatsexporte[Saldo],Monatsexporte[Jahr],$B$4,Monatsexporte[Monat],7,Monatsexporte[Konto],B149)</f>
        <v>0</v>
      </c>
      <c r="AA149" s="15">
        <f>SUMIFS(Monatsexporte[Saldo],Monatsexporte[Jahr],$B$5,Monatsexporte[Monat],7,Monatsexporte[Konto],B149)</f>
        <v>0</v>
      </c>
      <c r="AB149" s="22">
        <f t="shared" si="78"/>
        <v>0</v>
      </c>
      <c r="AC149" s="15">
        <f>SUMIFS(Monatsexporte[Saldo],Monatsexporte[Jahr],$B$4,Monatsexporte[Monat],8,Monatsexporte[Konto],B149)</f>
        <v>0</v>
      </c>
      <c r="AD149" s="15">
        <f>SUMIFS(Monatsexporte[Saldo],Monatsexporte[Jahr],$B$5,Monatsexporte[Monat],8,Monatsexporte[Konto],B149)</f>
        <v>0</v>
      </c>
      <c r="AE149" s="22">
        <f t="shared" si="79"/>
        <v>0</v>
      </c>
      <c r="AF149" s="15">
        <f>SUMIFS(Monatsexporte[Saldo],Monatsexporte[Jahr],$B$4,Monatsexporte[Monat],9,Monatsexporte[Konto],B149)</f>
        <v>0</v>
      </c>
      <c r="AG149" s="15">
        <f>SUMIFS(Monatsexporte[Saldo],Monatsexporte[Jahr],$B$5,Monatsexporte[Monat],9,Monatsexporte[Konto],B149)</f>
        <v>0</v>
      </c>
      <c r="AH149" s="22">
        <f t="shared" si="80"/>
        <v>0</v>
      </c>
      <c r="AI149" s="15">
        <f>SUMIFS(Monatsexporte[Saldo],Monatsexporte[Jahr],$B$4,Monatsexporte[Monat],10,Monatsexporte[Konto],B149)</f>
        <v>0</v>
      </c>
      <c r="AJ149" s="15">
        <f>SUMIFS(Monatsexporte[Saldo],Monatsexporte[Jahr],$B$5,Monatsexporte[Monat],10,Monatsexporte[Konto],B149)</f>
        <v>0</v>
      </c>
      <c r="AK149" s="22">
        <f t="shared" si="81"/>
        <v>0</v>
      </c>
      <c r="AL149" s="15">
        <f>SUMIFS(Monatsexporte[Saldo],Monatsexporte[Jahr],$B$4,Monatsexporte[Monat],11,Monatsexporte[Konto],B149)</f>
        <v>0</v>
      </c>
      <c r="AM149" s="15">
        <f>SUMIFS(Monatsexporte[Saldo],Monatsexporte[Jahr],$B$5,Monatsexporte[Monat],11,Monatsexporte[Konto],B149)</f>
        <v>0</v>
      </c>
      <c r="AN149" s="22">
        <f t="shared" si="82"/>
        <v>0</v>
      </c>
      <c r="AO149" s="15">
        <f>SUMIFS(Monatsexporte[Saldo],Monatsexporte[Jahr],$B$4,Monatsexporte[Monat],12,Monatsexporte[Konto],B149)</f>
        <v>0</v>
      </c>
      <c r="AP149" s="15">
        <f>SUMIFS(Monatsexporte[Saldo],Monatsexporte[Jahr],$B$5,Monatsexporte[Monat],12,Monatsexporte[Konto],B149)</f>
        <v>0</v>
      </c>
      <c r="AQ149" s="22">
        <f t="shared" si="83"/>
        <v>0</v>
      </c>
    </row>
    <row r="150" spans="1:43" x14ac:dyDescent="0.45">
      <c r="A150" s="1" t="s">
        <v>547</v>
      </c>
      <c r="B150" s="39" t="s">
        <v>548</v>
      </c>
      <c r="C150" s="15">
        <f>SUM(C148:C149)</f>
        <v>-822</v>
      </c>
      <c r="D150" s="15">
        <f ca="1">SUM(D148:D149)</f>
        <v>-4932</v>
      </c>
      <c r="E150" s="15">
        <f ca="1">SUM(E148:E149)</f>
        <v>0</v>
      </c>
      <c r="F150" s="15">
        <f t="shared" ca="1" si="70"/>
        <v>-4932</v>
      </c>
      <c r="G150" s="22">
        <f t="shared" ca="1" si="71"/>
        <v>0</v>
      </c>
      <c r="H150" s="15">
        <f>SUM(H148:H149)</f>
        <v>0</v>
      </c>
      <c r="I150" s="15">
        <f>SUM(I148:I149)</f>
        <v>0</v>
      </c>
      <c r="J150" s="22">
        <f t="shared" si="72"/>
        <v>0</v>
      </c>
      <c r="K150" s="15">
        <f>SUM(K148:K149)</f>
        <v>0</v>
      </c>
      <c r="L150" s="15">
        <f>SUM(L148:L149)</f>
        <v>0</v>
      </c>
      <c r="M150" s="22">
        <f t="shared" si="73"/>
        <v>0</v>
      </c>
      <c r="N150" s="15">
        <f>SUM(N148:N149)</f>
        <v>-1644</v>
      </c>
      <c r="O150" s="15">
        <f>SUM(O148:O149)</f>
        <v>0</v>
      </c>
      <c r="P150" s="22">
        <f t="shared" si="74"/>
        <v>0</v>
      </c>
      <c r="Q150" s="15">
        <f>SUM(Q148:Q149)</f>
        <v>-1644</v>
      </c>
      <c r="R150" s="15">
        <f>SUM(R148:R149)</f>
        <v>0</v>
      </c>
      <c r="S150" s="22">
        <f t="shared" si="75"/>
        <v>0</v>
      </c>
      <c r="T150" s="15">
        <f>SUM(T148:T149)</f>
        <v>-1644</v>
      </c>
      <c r="U150" s="15">
        <f>SUM(U148:U149)</f>
        <v>0</v>
      </c>
      <c r="V150" s="22">
        <f t="shared" si="76"/>
        <v>0</v>
      </c>
      <c r="W150" s="15">
        <f>SUM(W148:W149)</f>
        <v>0</v>
      </c>
      <c r="X150" s="15">
        <f>SUM(X148:X149)</f>
        <v>0</v>
      </c>
      <c r="Y150" s="22">
        <f t="shared" si="77"/>
        <v>0</v>
      </c>
      <c r="Z150" s="15">
        <f>SUM(Z148:Z149)</f>
        <v>0</v>
      </c>
      <c r="AA150" s="15">
        <f>SUM(AA148:AA149)</f>
        <v>0</v>
      </c>
      <c r="AB150" s="22">
        <f t="shared" si="78"/>
        <v>0</v>
      </c>
      <c r="AC150" s="15">
        <f>SUM(AC148:AC149)</f>
        <v>0</v>
      </c>
      <c r="AD150" s="15">
        <f>SUM(AD148:AD149)</f>
        <v>0</v>
      </c>
      <c r="AE150" s="22">
        <f t="shared" si="79"/>
        <v>0</v>
      </c>
      <c r="AF150" s="15">
        <f>SUM(AF148:AF149)</f>
        <v>0</v>
      </c>
      <c r="AG150" s="15">
        <f>SUM(AG148:AG149)</f>
        <v>0</v>
      </c>
      <c r="AH150" s="22">
        <f t="shared" si="80"/>
        <v>0</v>
      </c>
      <c r="AI150" s="15">
        <f>SUM(AI148:AI149)</f>
        <v>0</v>
      </c>
      <c r="AJ150" s="15">
        <f>SUM(AJ148:AJ149)</f>
        <v>0</v>
      </c>
      <c r="AK150" s="22">
        <f t="shared" si="81"/>
        <v>0</v>
      </c>
      <c r="AL150" s="15">
        <f>SUM(AL148:AL149)</f>
        <v>0</v>
      </c>
      <c r="AM150" s="15">
        <f>SUM(AM148:AM149)</f>
        <v>0</v>
      </c>
      <c r="AN150" s="22">
        <f t="shared" si="82"/>
        <v>0</v>
      </c>
      <c r="AO150" s="15">
        <f>SUM(AO148:AO149)</f>
        <v>0</v>
      </c>
      <c r="AP150" s="15">
        <f>SUM(AP148:AP149)</f>
        <v>0</v>
      </c>
      <c r="AQ150" s="22">
        <f t="shared" si="83"/>
        <v>0</v>
      </c>
    </row>
    <row r="151" spans="1:43" outlineLevel="1" x14ac:dyDescent="0.45">
      <c r="A151" s="10" t="s">
        <v>540</v>
      </c>
      <c r="B151" s="39">
        <v>760103525</v>
      </c>
      <c r="C151" s="15">
        <v>66455</v>
      </c>
      <c r="D151" s="15">
        <f ca="1">SUMIFS(Monatsexporte[Saldo],Monatsexporte[Jahr],$B$4,Monatsexporte[Monat],"&lt;="&amp;$B$8,Monatsexporte[Konto],B151)+(5538*MAX(0,$B$8-SUMPRODUCT((Monatsexporte[Jahr]=$B$4)*(Monatsexporte[Konto]=B151)*(Monatsexporte[Monat]&lt;=$B$8)*1/MAX(1,COUNTIFS(Monatsexporte[Jahr],$B$4,Monatsexporte[Konto],B151,Monatsexporte[Monat],Monatsexporte[[#This Row],[Monat]])))))</f>
        <v>210440.73</v>
      </c>
      <c r="E151" s="15">
        <f ca="1">66455/12*$B$8</f>
        <v>27689.583333333336</v>
      </c>
      <c r="F151" s="15">
        <f t="shared" ca="1" si="70"/>
        <v>182751.14666666667</v>
      </c>
      <c r="G151" s="22">
        <f t="shared" ca="1" si="71"/>
        <v>6.5999962681513802</v>
      </c>
      <c r="H151" s="15">
        <f>IF(SUMIFS(Monatsexporte[Saldo],Monatsexporte[Jahr],$B$4,Monatsexporte[Monat],1,Monatsexporte[Konto],B151)&lt;&gt;0,SUMIFS(Monatsexporte[Saldo],Monatsexporte[Jahr],$B$4,Monatsexporte[Monat],1,Monatsexporte[Konto],B151),5538)</f>
        <v>5538</v>
      </c>
      <c r="I151" s="15">
        <f>IF(SUMIFS(Monatsexporte[Saldo],Monatsexporte[Jahr],$B$5,Monatsexporte[Monat],1,Monatsexporte[Konto],B151)&lt;&gt;0,SUMIFS(Monatsexporte[Saldo],Monatsexporte[Jahr],$B$5,Monatsexporte[Monat],1,Monatsexporte[Konto],B151),66455/12)</f>
        <v>5537.916666666667</v>
      </c>
      <c r="J151" s="22">
        <f t="shared" si="72"/>
        <v>1.5047776690924053E-5</v>
      </c>
      <c r="K151" s="15">
        <f>IF(SUMIFS(Monatsexporte[Saldo],Monatsexporte[Jahr],$B$4,Monatsexporte[Monat],2,Monatsexporte[Konto],B151)&lt;&gt;0,SUMIFS(Monatsexporte[Saldo],Monatsexporte[Jahr],$B$4,Monatsexporte[Monat],2,Monatsexporte[Konto],B151),5538)</f>
        <v>5538</v>
      </c>
      <c r="L151" s="15">
        <f>IF(SUMIFS(Monatsexporte[Saldo],Monatsexporte[Jahr],$B$5,Monatsexporte[Monat],2,Monatsexporte[Konto],B151)&lt;&gt;0,SUMIFS(Monatsexporte[Saldo],Monatsexporte[Jahr],$B$5,Monatsexporte[Monat],2,Monatsexporte[Konto],B151),66455/12)</f>
        <v>5537.916666666667</v>
      </c>
      <c r="M151" s="22">
        <f t="shared" si="73"/>
        <v>1.5047776690924053E-5</v>
      </c>
      <c r="N151" s="15">
        <f>IF(SUMIFS(Monatsexporte[Saldo],Monatsexporte[Jahr],$B$4,Monatsexporte[Monat],3,Monatsexporte[Konto],B151)&lt;&gt;0,SUMIFS(Monatsexporte[Saldo],Monatsexporte[Jahr],$B$4,Monatsexporte[Monat],3,Monatsexporte[Konto],B151),5538)</f>
        <v>66454.91</v>
      </c>
      <c r="O151" s="15">
        <f>IF(SUMIFS(Monatsexporte[Saldo],Monatsexporte[Jahr],$B$5,Monatsexporte[Monat],3,Monatsexporte[Konto],B151)&lt;&gt;0,SUMIFS(Monatsexporte[Saldo],Monatsexporte[Jahr],$B$5,Monatsexporte[Monat],3,Monatsexporte[Konto],B151),66455/12)</f>
        <v>5537.916666666667</v>
      </c>
      <c r="P151" s="22">
        <f t="shared" si="74"/>
        <v>10.999983748401174</v>
      </c>
      <c r="Q151" s="15">
        <f>IF(SUMIFS(Monatsexporte[Saldo],Monatsexporte[Jahr],$B$4,Monatsexporte[Monat],4,Monatsexporte[Konto],B151)&lt;&gt;0,SUMIFS(Monatsexporte[Saldo],Monatsexporte[Jahr],$B$4,Monatsexporte[Monat],4,Monatsexporte[Konto],B151),5538)</f>
        <v>66454.91</v>
      </c>
      <c r="R151" s="15">
        <f>IF(SUMIFS(Monatsexporte[Saldo],Monatsexporte[Jahr],$B$5,Monatsexporte[Monat],4,Monatsexporte[Konto],B151)&lt;&gt;0,SUMIFS(Monatsexporte[Saldo],Monatsexporte[Jahr],$B$5,Monatsexporte[Monat],4,Monatsexporte[Konto],B151),66455/12)</f>
        <v>5537.916666666667</v>
      </c>
      <c r="S151" s="22">
        <f t="shared" si="75"/>
        <v>10.999983748401174</v>
      </c>
      <c r="T151" s="15">
        <f>IF(SUMIFS(Monatsexporte[Saldo],Monatsexporte[Jahr],$B$4,Monatsexporte[Monat],5,Monatsexporte[Konto],B151)&lt;&gt;0,SUMIFS(Monatsexporte[Saldo],Monatsexporte[Jahr],$B$4,Monatsexporte[Monat],5,Monatsexporte[Konto],B151),5538)</f>
        <v>66454.91</v>
      </c>
      <c r="U151" s="15">
        <f>IF(SUMIFS(Monatsexporte[Saldo],Monatsexporte[Jahr],$B$5,Monatsexporte[Monat],5,Monatsexporte[Konto],B151)&lt;&gt;0,SUMIFS(Monatsexporte[Saldo],Monatsexporte[Jahr],$B$5,Monatsexporte[Monat],5,Monatsexporte[Konto],B151),66455/12)</f>
        <v>5537.916666666667</v>
      </c>
      <c r="V151" s="22">
        <f t="shared" si="76"/>
        <v>10.999983748401174</v>
      </c>
      <c r="W151" s="15">
        <f>IF(SUMIFS(Monatsexporte[Saldo],Monatsexporte[Jahr],$B$4,Monatsexporte[Monat],6,Monatsexporte[Konto],B151)&lt;&gt;0,SUMIFS(Monatsexporte[Saldo],Monatsexporte[Jahr],$B$4,Monatsexporte[Monat],6,Monatsexporte[Konto],B151),5538)</f>
        <v>5538</v>
      </c>
      <c r="X151" s="15">
        <f>IF(SUMIFS(Monatsexporte[Saldo],Monatsexporte[Jahr],$B$5,Monatsexporte[Monat],6,Monatsexporte[Konto],B151)&lt;&gt;0,SUMIFS(Monatsexporte[Saldo],Monatsexporte[Jahr],$B$5,Monatsexporte[Monat],6,Monatsexporte[Konto],B151),66455/12)</f>
        <v>5537.916666666667</v>
      </c>
      <c r="Y151" s="22">
        <f t="shared" si="77"/>
        <v>1.5047776690924053E-5</v>
      </c>
      <c r="Z151" s="15">
        <f>IF(SUMIFS(Monatsexporte[Saldo],Monatsexporte[Jahr],$B$4,Monatsexporte[Monat],7,Monatsexporte[Konto],B151)&lt;&gt;0,SUMIFS(Monatsexporte[Saldo],Monatsexporte[Jahr],$B$4,Monatsexporte[Monat],7,Monatsexporte[Konto],B151),5538)</f>
        <v>5538</v>
      </c>
      <c r="AA151" s="15">
        <f>IF(SUMIFS(Monatsexporte[Saldo],Monatsexporte[Jahr],$B$5,Monatsexporte[Monat],7,Monatsexporte[Konto],B151)&lt;&gt;0,SUMIFS(Monatsexporte[Saldo],Monatsexporte[Jahr],$B$5,Monatsexporte[Monat],7,Monatsexporte[Konto],B151),66455/12)</f>
        <v>5537.916666666667</v>
      </c>
      <c r="AB151" s="22">
        <f t="shared" si="78"/>
        <v>1.5047776690924053E-5</v>
      </c>
      <c r="AC151" s="15">
        <f>IF(SUMIFS(Monatsexporte[Saldo],Monatsexporte[Jahr],$B$4,Monatsexporte[Monat],8,Monatsexporte[Konto],B151)&lt;&gt;0,SUMIFS(Monatsexporte[Saldo],Monatsexporte[Jahr],$B$4,Monatsexporte[Monat],8,Monatsexporte[Konto],B151),5538)</f>
        <v>5538</v>
      </c>
      <c r="AD151" s="15">
        <f>IF(SUMIFS(Monatsexporte[Saldo],Monatsexporte[Jahr],$B$5,Monatsexporte[Monat],8,Monatsexporte[Konto],B151)&lt;&gt;0,SUMIFS(Monatsexporte[Saldo],Monatsexporte[Jahr],$B$5,Monatsexporte[Monat],8,Monatsexporte[Konto],B151),66455/12)</f>
        <v>5537.916666666667</v>
      </c>
      <c r="AE151" s="22">
        <f t="shared" si="79"/>
        <v>1.5047776690924053E-5</v>
      </c>
      <c r="AF151" s="15">
        <f>IF(SUMIFS(Monatsexporte[Saldo],Monatsexporte[Jahr],$B$4,Monatsexporte[Monat],9,Monatsexporte[Konto],B151)&lt;&gt;0,SUMIFS(Monatsexporte[Saldo],Monatsexporte[Jahr],$B$4,Monatsexporte[Monat],9,Monatsexporte[Konto],B151),5538)</f>
        <v>5538</v>
      </c>
      <c r="AG151" s="15">
        <f>IF(SUMIFS(Monatsexporte[Saldo],Monatsexporte[Jahr],$B$5,Monatsexporte[Monat],9,Monatsexporte[Konto],B151)&lt;&gt;0,SUMIFS(Monatsexporte[Saldo],Monatsexporte[Jahr],$B$5,Monatsexporte[Monat],9,Monatsexporte[Konto],B151),66455/12)</f>
        <v>5537.916666666667</v>
      </c>
      <c r="AH151" s="22">
        <f t="shared" si="80"/>
        <v>1.5047776690924053E-5</v>
      </c>
      <c r="AI151" s="15">
        <f>IF(SUMIFS(Monatsexporte[Saldo],Monatsexporte[Jahr],$B$4,Monatsexporte[Monat],10,Monatsexporte[Konto],B151)&lt;&gt;0,SUMIFS(Monatsexporte[Saldo],Monatsexporte[Jahr],$B$4,Monatsexporte[Monat],10,Monatsexporte[Konto],B151),5538)</f>
        <v>5538</v>
      </c>
      <c r="AJ151" s="15">
        <f>IF(SUMIFS(Monatsexporte[Saldo],Monatsexporte[Jahr],$B$5,Monatsexporte[Monat],10,Monatsexporte[Konto],B151)&lt;&gt;0,SUMIFS(Monatsexporte[Saldo],Monatsexporte[Jahr],$B$5,Monatsexporte[Monat],10,Monatsexporte[Konto],B151),66455/12)</f>
        <v>5537.916666666667</v>
      </c>
      <c r="AK151" s="22">
        <f t="shared" si="81"/>
        <v>1.5047776690924053E-5</v>
      </c>
      <c r="AL151" s="15">
        <f>IF(SUMIFS(Monatsexporte[Saldo],Monatsexporte[Jahr],$B$4,Monatsexporte[Monat],11,Monatsexporte[Konto],B151)&lt;&gt;0,SUMIFS(Monatsexporte[Saldo],Monatsexporte[Jahr],$B$4,Monatsexporte[Monat],11,Monatsexporte[Konto],B151),5538)</f>
        <v>5538</v>
      </c>
      <c r="AM151" s="15">
        <f>IF(SUMIFS(Monatsexporte[Saldo],Monatsexporte[Jahr],$B$5,Monatsexporte[Monat],11,Monatsexporte[Konto],B151)&lt;&gt;0,SUMIFS(Monatsexporte[Saldo],Monatsexporte[Jahr],$B$5,Monatsexporte[Monat],11,Monatsexporte[Konto],B151),66455/12)</f>
        <v>5537.916666666667</v>
      </c>
      <c r="AN151" s="22">
        <f t="shared" si="82"/>
        <v>1.5047776690924053E-5</v>
      </c>
      <c r="AO151" s="15">
        <f>IF(SUMIFS(Monatsexporte[Saldo],Monatsexporte[Jahr],$B$4,Monatsexporte[Monat],12,Monatsexporte[Konto],B151)&lt;&gt;0,SUMIFS(Monatsexporte[Saldo],Monatsexporte[Jahr],$B$4,Monatsexporte[Monat],12,Monatsexporte[Konto],B151),5538)</f>
        <v>5538</v>
      </c>
      <c r="AP151" s="15">
        <f>IF(SUMIFS(Monatsexporte[Saldo],Monatsexporte[Jahr],$B$5,Monatsexporte[Monat],12,Monatsexporte[Konto],B151)&lt;&gt;0,SUMIFS(Monatsexporte[Saldo],Monatsexporte[Jahr],$B$5,Monatsexporte[Monat],12,Monatsexporte[Konto],B151),66455/12)</f>
        <v>5537.916666666667</v>
      </c>
      <c r="AQ151" s="22">
        <f t="shared" si="83"/>
        <v>1.5047776690924053E-5</v>
      </c>
    </row>
    <row r="152" spans="1:43" outlineLevel="1" x14ac:dyDescent="0.45">
      <c r="A152" s="10" t="s">
        <v>541</v>
      </c>
      <c r="B152" s="39">
        <v>760103551</v>
      </c>
      <c r="C152" s="15">
        <v>41415</v>
      </c>
      <c r="D152" s="15">
        <f ca="1">SUMIFS(Monatsexporte[Saldo],Monatsexporte[Jahr],$B$4,Monatsexporte[Monat],"&lt;="&amp;$B$8,Monatsexporte[Konto],B152)+(3451*MAX(0,$B$8-SUMPRODUCT((Monatsexporte[Jahr]=$B$4)*(Monatsexporte[Konto]=B152)*(Monatsexporte[Monat]&lt;=$B$8)*1/MAX(1,COUNTIFS(Monatsexporte[Jahr],$B$4,Monatsexporte[Konto],B152,Monatsexporte[Monat],Monatsexporte[[#This Row],[Monat]])))))</f>
        <v>131148.34999999998</v>
      </c>
      <c r="E152" s="15">
        <f ca="1">41415/12*$B$8</f>
        <v>17256.25</v>
      </c>
      <c r="F152" s="15">
        <f t="shared" ca="1" si="70"/>
        <v>113892.09999999998</v>
      </c>
      <c r="G152" s="22">
        <f t="shared" ca="1" si="71"/>
        <v>6.6000492575153915</v>
      </c>
      <c r="H152" s="15">
        <f>IF(SUMIFS(Monatsexporte[Saldo],Monatsexporte[Jahr],$B$4,Monatsexporte[Monat],1,Monatsexporte[Konto],B152)&lt;&gt;0,SUMIFS(Monatsexporte[Saldo],Monatsexporte[Jahr],$B$4,Monatsexporte[Monat],1,Monatsexporte[Konto],B152),3451)</f>
        <v>3451</v>
      </c>
      <c r="I152" s="15">
        <f>IF(SUMIFS(Monatsexporte[Saldo],Monatsexporte[Jahr],$B$5,Monatsexporte[Monat],1,Monatsexporte[Konto],B152)&lt;&gt;0,SUMIFS(Monatsexporte[Saldo],Monatsexporte[Jahr],$B$5,Monatsexporte[Monat],1,Monatsexporte[Konto],B152),41415/12)</f>
        <v>3451.25</v>
      </c>
      <c r="J152" s="22">
        <f t="shared" si="72"/>
        <v>-7.2437522636747964E-5</v>
      </c>
      <c r="K152" s="15">
        <f>IF(SUMIFS(Monatsexporte[Saldo],Monatsexporte[Jahr],$B$4,Monatsexporte[Monat],2,Monatsexporte[Konto],B152)&lt;&gt;0,SUMIFS(Monatsexporte[Saldo],Monatsexporte[Jahr],$B$4,Monatsexporte[Monat],2,Monatsexporte[Konto],B152),3451)</f>
        <v>3451</v>
      </c>
      <c r="L152" s="15">
        <f>IF(SUMIFS(Monatsexporte[Saldo],Monatsexporte[Jahr],$B$5,Monatsexporte[Monat],2,Monatsexporte[Konto],B152)&lt;&gt;0,SUMIFS(Monatsexporte[Saldo],Monatsexporte[Jahr],$B$5,Monatsexporte[Monat],2,Monatsexporte[Konto],B152),41415/12)</f>
        <v>3451.25</v>
      </c>
      <c r="M152" s="22">
        <f t="shared" si="73"/>
        <v>-7.2437522636747964E-5</v>
      </c>
      <c r="N152" s="15">
        <f>IF(SUMIFS(Monatsexporte[Saldo],Monatsexporte[Jahr],$B$4,Monatsexporte[Monat],3,Monatsexporte[Konto],B152)&lt;&gt;0,SUMIFS(Monatsexporte[Saldo],Monatsexporte[Jahr],$B$4,Monatsexporte[Monat],3,Monatsexporte[Konto],B152),3451)</f>
        <v>41415.449999999997</v>
      </c>
      <c r="O152" s="15">
        <f>IF(SUMIFS(Monatsexporte[Saldo],Monatsexporte[Jahr],$B$5,Monatsexporte[Monat],3,Monatsexporte[Konto],B152)&lt;&gt;0,SUMIFS(Monatsexporte[Saldo],Monatsexporte[Jahr],$B$5,Monatsexporte[Monat],3,Monatsexporte[Konto],B152),41415/12)</f>
        <v>3451.25</v>
      </c>
      <c r="P152" s="22">
        <f t="shared" si="74"/>
        <v>11.000130387540745</v>
      </c>
      <c r="Q152" s="15">
        <f>IF(SUMIFS(Monatsexporte[Saldo],Monatsexporte[Jahr],$B$4,Monatsexporte[Monat],4,Monatsexporte[Konto],B152)&lt;&gt;0,SUMIFS(Monatsexporte[Saldo],Monatsexporte[Jahr],$B$4,Monatsexporte[Monat],4,Monatsexporte[Konto],B152),3451)</f>
        <v>41415.449999999997</v>
      </c>
      <c r="R152" s="15">
        <f>IF(SUMIFS(Monatsexporte[Saldo],Monatsexporte[Jahr],$B$5,Monatsexporte[Monat],4,Monatsexporte[Konto],B152)&lt;&gt;0,SUMIFS(Monatsexporte[Saldo],Monatsexporte[Jahr],$B$5,Monatsexporte[Monat],4,Monatsexporte[Konto],B152),41415/12)</f>
        <v>3451.25</v>
      </c>
      <c r="S152" s="22">
        <f t="shared" si="75"/>
        <v>11.000130387540745</v>
      </c>
      <c r="T152" s="15">
        <f>IF(SUMIFS(Monatsexporte[Saldo],Monatsexporte[Jahr],$B$4,Monatsexporte[Monat],5,Monatsexporte[Konto],B152)&lt;&gt;0,SUMIFS(Monatsexporte[Saldo],Monatsexporte[Jahr],$B$4,Monatsexporte[Monat],5,Monatsexporte[Konto],B152),3451)</f>
        <v>41415.449999999997</v>
      </c>
      <c r="U152" s="15">
        <f>IF(SUMIFS(Monatsexporte[Saldo],Monatsexporte[Jahr],$B$5,Monatsexporte[Monat],5,Monatsexporte[Konto],B152)&lt;&gt;0,SUMIFS(Monatsexporte[Saldo],Monatsexporte[Jahr],$B$5,Monatsexporte[Monat],5,Monatsexporte[Konto],B152),41415/12)</f>
        <v>3451.25</v>
      </c>
      <c r="V152" s="22">
        <f t="shared" si="76"/>
        <v>11.000130387540745</v>
      </c>
      <c r="W152" s="15">
        <f>IF(SUMIFS(Monatsexporte[Saldo],Monatsexporte[Jahr],$B$4,Monatsexporte[Monat],6,Monatsexporte[Konto],B152)&lt;&gt;0,SUMIFS(Monatsexporte[Saldo],Monatsexporte[Jahr],$B$4,Monatsexporte[Monat],6,Monatsexporte[Konto],B152),3451)</f>
        <v>3451</v>
      </c>
      <c r="X152" s="15">
        <f>IF(SUMIFS(Monatsexporte[Saldo],Monatsexporte[Jahr],$B$5,Monatsexporte[Monat],6,Monatsexporte[Konto],B152)&lt;&gt;0,SUMIFS(Monatsexporte[Saldo],Monatsexporte[Jahr],$B$5,Monatsexporte[Monat],6,Monatsexporte[Konto],B152),41415/12)</f>
        <v>3451.25</v>
      </c>
      <c r="Y152" s="22">
        <f t="shared" si="77"/>
        <v>-7.2437522636747964E-5</v>
      </c>
      <c r="Z152" s="15">
        <f>IF(SUMIFS(Monatsexporte[Saldo],Monatsexporte[Jahr],$B$4,Monatsexporte[Monat],7,Monatsexporte[Konto],B152)&lt;&gt;0,SUMIFS(Monatsexporte[Saldo],Monatsexporte[Jahr],$B$4,Monatsexporte[Monat],7,Monatsexporte[Konto],B152),3451)</f>
        <v>3451</v>
      </c>
      <c r="AA152" s="15">
        <f>IF(SUMIFS(Monatsexporte[Saldo],Monatsexporte[Jahr],$B$5,Monatsexporte[Monat],7,Monatsexporte[Konto],B152)&lt;&gt;0,SUMIFS(Monatsexporte[Saldo],Monatsexporte[Jahr],$B$5,Monatsexporte[Monat],7,Monatsexporte[Konto],B152),41415/12)</f>
        <v>3451.25</v>
      </c>
      <c r="AB152" s="22">
        <f t="shared" si="78"/>
        <v>-7.2437522636747964E-5</v>
      </c>
      <c r="AC152" s="15">
        <f>IF(SUMIFS(Monatsexporte[Saldo],Monatsexporte[Jahr],$B$4,Monatsexporte[Monat],8,Monatsexporte[Konto],B152)&lt;&gt;0,SUMIFS(Monatsexporte[Saldo],Monatsexporte[Jahr],$B$4,Monatsexporte[Monat],8,Monatsexporte[Konto],B152),3451)</f>
        <v>3451</v>
      </c>
      <c r="AD152" s="15">
        <f>IF(SUMIFS(Monatsexporte[Saldo],Monatsexporte[Jahr],$B$5,Monatsexporte[Monat],8,Monatsexporte[Konto],B152)&lt;&gt;0,SUMIFS(Monatsexporte[Saldo],Monatsexporte[Jahr],$B$5,Monatsexporte[Monat],8,Monatsexporte[Konto],B152),41415/12)</f>
        <v>3451.25</v>
      </c>
      <c r="AE152" s="22">
        <f t="shared" si="79"/>
        <v>-7.2437522636747964E-5</v>
      </c>
      <c r="AF152" s="15">
        <f>IF(SUMIFS(Monatsexporte[Saldo],Monatsexporte[Jahr],$B$4,Monatsexporte[Monat],9,Monatsexporte[Konto],B152)&lt;&gt;0,SUMIFS(Monatsexporte[Saldo],Monatsexporte[Jahr],$B$4,Monatsexporte[Monat],9,Monatsexporte[Konto],B152),3451)</f>
        <v>3451</v>
      </c>
      <c r="AG152" s="15">
        <f>IF(SUMIFS(Monatsexporte[Saldo],Monatsexporte[Jahr],$B$5,Monatsexporte[Monat],9,Monatsexporte[Konto],B152)&lt;&gt;0,SUMIFS(Monatsexporte[Saldo],Monatsexporte[Jahr],$B$5,Monatsexporte[Monat],9,Monatsexporte[Konto],B152),41415/12)</f>
        <v>3451.25</v>
      </c>
      <c r="AH152" s="22">
        <f t="shared" si="80"/>
        <v>-7.2437522636747964E-5</v>
      </c>
      <c r="AI152" s="15">
        <f>IF(SUMIFS(Monatsexporte[Saldo],Monatsexporte[Jahr],$B$4,Monatsexporte[Monat],10,Monatsexporte[Konto],B152)&lt;&gt;0,SUMIFS(Monatsexporte[Saldo],Monatsexporte[Jahr],$B$4,Monatsexporte[Monat],10,Monatsexporte[Konto],B152),3451)</f>
        <v>3451</v>
      </c>
      <c r="AJ152" s="15">
        <f>IF(SUMIFS(Monatsexporte[Saldo],Monatsexporte[Jahr],$B$5,Monatsexporte[Monat],10,Monatsexporte[Konto],B152)&lt;&gt;0,SUMIFS(Monatsexporte[Saldo],Monatsexporte[Jahr],$B$5,Monatsexporte[Monat],10,Monatsexporte[Konto],B152),41415/12)</f>
        <v>3451.25</v>
      </c>
      <c r="AK152" s="22">
        <f t="shared" si="81"/>
        <v>-7.2437522636747964E-5</v>
      </c>
      <c r="AL152" s="15">
        <f>IF(SUMIFS(Monatsexporte[Saldo],Monatsexporte[Jahr],$B$4,Monatsexporte[Monat],11,Monatsexporte[Konto],B152)&lt;&gt;0,SUMIFS(Monatsexporte[Saldo],Monatsexporte[Jahr],$B$4,Monatsexporte[Monat],11,Monatsexporte[Konto],B152),3451)</f>
        <v>3451</v>
      </c>
      <c r="AM152" s="15">
        <f>IF(SUMIFS(Monatsexporte[Saldo],Monatsexporte[Jahr],$B$5,Monatsexporte[Monat],11,Monatsexporte[Konto],B152)&lt;&gt;0,SUMIFS(Monatsexporte[Saldo],Monatsexporte[Jahr],$B$5,Monatsexporte[Monat],11,Monatsexporte[Konto],B152),41415/12)</f>
        <v>3451.25</v>
      </c>
      <c r="AN152" s="22">
        <f t="shared" si="82"/>
        <v>-7.2437522636747964E-5</v>
      </c>
      <c r="AO152" s="15">
        <f>IF(SUMIFS(Monatsexporte[Saldo],Monatsexporte[Jahr],$B$4,Monatsexporte[Monat],12,Monatsexporte[Konto],B152)&lt;&gt;0,SUMIFS(Monatsexporte[Saldo],Monatsexporte[Jahr],$B$4,Monatsexporte[Monat],12,Monatsexporte[Konto],B152),3451)</f>
        <v>3451</v>
      </c>
      <c r="AP152" s="15">
        <f>IF(SUMIFS(Monatsexporte[Saldo],Monatsexporte[Jahr],$B$5,Monatsexporte[Monat],12,Monatsexporte[Konto],B152)&lt;&gt;0,SUMIFS(Monatsexporte[Saldo],Monatsexporte[Jahr],$B$5,Monatsexporte[Monat],12,Monatsexporte[Konto],B152),41415/12)</f>
        <v>3451.25</v>
      </c>
      <c r="AQ152" s="22">
        <f t="shared" si="83"/>
        <v>-7.2437522636747964E-5</v>
      </c>
    </row>
    <row r="153" spans="1:43" x14ac:dyDescent="0.45">
      <c r="A153" s="1" t="s">
        <v>549</v>
      </c>
      <c r="B153" s="39" t="s">
        <v>542</v>
      </c>
      <c r="C153" s="15">
        <f>SUM(C151:C152)</f>
        <v>107870</v>
      </c>
      <c r="D153" s="15">
        <f ca="1">SUM(D151:D152)</f>
        <v>341589.07999999996</v>
      </c>
      <c r="E153" s="15">
        <f ca="1">SUM(E151:E152)</f>
        <v>44945.833333333336</v>
      </c>
      <c r="F153" s="15">
        <f t="shared" ca="1" si="70"/>
        <v>296643.24666666664</v>
      </c>
      <c r="G153" s="22">
        <f t="shared" ca="1" si="71"/>
        <v>6.6000166125892266</v>
      </c>
      <c r="H153" s="15">
        <f>SUM(H151:H152)</f>
        <v>8989</v>
      </c>
      <c r="I153" s="15">
        <f>SUM(I151:I152)</f>
        <v>8989.1666666666679</v>
      </c>
      <c r="J153" s="22">
        <f t="shared" si="72"/>
        <v>-1.8540836191793808E-5</v>
      </c>
      <c r="K153" s="15">
        <f>SUM(K151:K152)</f>
        <v>8989</v>
      </c>
      <c r="L153" s="15">
        <f>SUM(L151:L152)</f>
        <v>8989.1666666666679</v>
      </c>
      <c r="M153" s="22">
        <f t="shared" si="73"/>
        <v>-1.8540836191793808E-5</v>
      </c>
      <c r="N153" s="15">
        <f>SUM(N151:N152)</f>
        <v>107870.36</v>
      </c>
      <c r="O153" s="15">
        <f>SUM(O151:O152)</f>
        <v>8989.1666666666679</v>
      </c>
      <c r="P153" s="22">
        <f t="shared" si="74"/>
        <v>11.000040048206172</v>
      </c>
      <c r="Q153" s="15">
        <f>SUM(Q151:Q152)</f>
        <v>107870.36</v>
      </c>
      <c r="R153" s="15">
        <f>SUM(R151:R152)</f>
        <v>8989.1666666666679</v>
      </c>
      <c r="S153" s="22">
        <f t="shared" si="75"/>
        <v>11.000040048206172</v>
      </c>
      <c r="T153" s="15">
        <f>SUM(T151:T152)</f>
        <v>107870.36</v>
      </c>
      <c r="U153" s="15">
        <f>SUM(U151:U152)</f>
        <v>8989.1666666666679</v>
      </c>
      <c r="V153" s="22">
        <f t="shared" si="76"/>
        <v>11.000040048206172</v>
      </c>
      <c r="W153" s="15">
        <f>SUM(W151:W152)</f>
        <v>8989</v>
      </c>
      <c r="X153" s="15">
        <f>SUM(X151:X152)</f>
        <v>8989.1666666666679</v>
      </c>
      <c r="Y153" s="22">
        <f t="shared" si="77"/>
        <v>-1.8540836191793808E-5</v>
      </c>
      <c r="Z153" s="15">
        <f>SUM(Z151:Z152)</f>
        <v>8989</v>
      </c>
      <c r="AA153" s="15">
        <f>SUM(AA151:AA152)</f>
        <v>8989.1666666666679</v>
      </c>
      <c r="AB153" s="22">
        <f t="shared" si="78"/>
        <v>-1.8540836191793808E-5</v>
      </c>
      <c r="AC153" s="15">
        <f>SUM(AC151:AC152)</f>
        <v>8989</v>
      </c>
      <c r="AD153" s="15">
        <f>SUM(AD151:AD152)</f>
        <v>8989.1666666666679</v>
      </c>
      <c r="AE153" s="22">
        <f t="shared" si="79"/>
        <v>-1.8540836191793808E-5</v>
      </c>
      <c r="AF153" s="15">
        <f>SUM(AF151:AF152)</f>
        <v>8989</v>
      </c>
      <c r="AG153" s="15">
        <f>SUM(AG151:AG152)</f>
        <v>8989.1666666666679</v>
      </c>
      <c r="AH153" s="22">
        <f t="shared" si="80"/>
        <v>-1.8540836191793808E-5</v>
      </c>
      <c r="AI153" s="15">
        <f>SUM(AI151:AI152)</f>
        <v>8989</v>
      </c>
      <c r="AJ153" s="15">
        <f>SUM(AJ151:AJ152)</f>
        <v>8989.1666666666679</v>
      </c>
      <c r="AK153" s="22">
        <f t="shared" si="81"/>
        <v>-1.8540836191793808E-5</v>
      </c>
      <c r="AL153" s="15">
        <f>SUM(AL151:AL152)</f>
        <v>8989</v>
      </c>
      <c r="AM153" s="15">
        <f>SUM(AM151:AM152)</f>
        <v>8989.1666666666679</v>
      </c>
      <c r="AN153" s="22">
        <f t="shared" si="82"/>
        <v>-1.8540836191793808E-5</v>
      </c>
      <c r="AO153" s="15">
        <f>SUM(AO151:AO152)</f>
        <v>8989</v>
      </c>
      <c r="AP153" s="15">
        <f>SUM(AP151:AP152)</f>
        <v>8989.1666666666679</v>
      </c>
      <c r="AQ153" s="22">
        <f t="shared" si="83"/>
        <v>-1.8540836191793808E-5</v>
      </c>
    </row>
    <row r="154" spans="1:43" x14ac:dyDescent="0.45">
      <c r="A154" s="1" t="s">
        <v>550</v>
      </c>
      <c r="C154" s="15">
        <f>C153</f>
        <v>107870</v>
      </c>
      <c r="D154" s="15">
        <f ca="1">D153</f>
        <v>341589.07999999996</v>
      </c>
      <c r="E154" s="15">
        <f ca="1">E153</f>
        <v>44945.833333333336</v>
      </c>
      <c r="F154" s="15">
        <f t="shared" ca="1" si="70"/>
        <v>296643.24666666664</v>
      </c>
      <c r="G154" s="22">
        <f t="shared" ca="1" si="71"/>
        <v>6.6000166125892266</v>
      </c>
      <c r="H154" s="15">
        <f>H153</f>
        <v>8989</v>
      </c>
      <c r="I154" s="15">
        <f>I153</f>
        <v>8989.1666666666679</v>
      </c>
      <c r="J154" s="22">
        <f t="shared" si="72"/>
        <v>-1.8540836191793808E-5</v>
      </c>
      <c r="K154" s="15">
        <f>K153</f>
        <v>8989</v>
      </c>
      <c r="L154" s="15">
        <f>L153</f>
        <v>8989.1666666666679</v>
      </c>
      <c r="M154" s="22">
        <f t="shared" si="73"/>
        <v>-1.8540836191793808E-5</v>
      </c>
      <c r="N154" s="15">
        <f>N153</f>
        <v>107870.36</v>
      </c>
      <c r="O154" s="15">
        <f>O153</f>
        <v>8989.1666666666679</v>
      </c>
      <c r="P154" s="22">
        <f t="shared" si="74"/>
        <v>11.000040048206172</v>
      </c>
      <c r="Q154" s="15">
        <f>Q153</f>
        <v>107870.36</v>
      </c>
      <c r="R154" s="15">
        <f>R153</f>
        <v>8989.1666666666679</v>
      </c>
      <c r="S154" s="22">
        <f t="shared" si="75"/>
        <v>11.000040048206172</v>
      </c>
      <c r="T154" s="15">
        <f>T153</f>
        <v>107870.36</v>
      </c>
      <c r="U154" s="15">
        <f>U153</f>
        <v>8989.1666666666679</v>
      </c>
      <c r="V154" s="22">
        <f t="shared" si="76"/>
        <v>11.000040048206172</v>
      </c>
      <c r="W154" s="15">
        <f>W153</f>
        <v>8989</v>
      </c>
      <c r="X154" s="15">
        <f>X153</f>
        <v>8989.1666666666679</v>
      </c>
      <c r="Y154" s="22">
        <f t="shared" si="77"/>
        <v>-1.8540836191793808E-5</v>
      </c>
      <c r="Z154" s="15">
        <f>Z153</f>
        <v>8989</v>
      </c>
      <c r="AA154" s="15">
        <f>AA153</f>
        <v>8989.1666666666679</v>
      </c>
      <c r="AB154" s="22">
        <f t="shared" si="78"/>
        <v>-1.8540836191793808E-5</v>
      </c>
      <c r="AC154" s="15">
        <f>AC153</f>
        <v>8989</v>
      </c>
      <c r="AD154" s="15">
        <f>AD153</f>
        <v>8989.1666666666679</v>
      </c>
      <c r="AE154" s="22">
        <f t="shared" si="79"/>
        <v>-1.8540836191793808E-5</v>
      </c>
      <c r="AF154" s="15">
        <f>AF153</f>
        <v>8989</v>
      </c>
      <c r="AG154" s="15">
        <f>AG153</f>
        <v>8989.1666666666679</v>
      </c>
      <c r="AH154" s="22">
        <f t="shared" si="80"/>
        <v>-1.8540836191793808E-5</v>
      </c>
      <c r="AI154" s="15">
        <f>AI153</f>
        <v>8989</v>
      </c>
      <c r="AJ154" s="15">
        <f>AJ153</f>
        <v>8989.1666666666679</v>
      </c>
      <c r="AK154" s="22">
        <f t="shared" si="81"/>
        <v>-1.8540836191793808E-5</v>
      </c>
      <c r="AL154" s="15">
        <f>AL153</f>
        <v>8989</v>
      </c>
      <c r="AM154" s="15">
        <f>AM153</f>
        <v>8989.1666666666679</v>
      </c>
      <c r="AN154" s="22">
        <f t="shared" si="82"/>
        <v>-1.8540836191793808E-5</v>
      </c>
      <c r="AO154" s="15">
        <f>AO153</f>
        <v>8989</v>
      </c>
      <c r="AP154" s="15">
        <f>AP153</f>
        <v>8989.1666666666679</v>
      </c>
      <c r="AQ154" s="22">
        <f t="shared" si="83"/>
        <v>-1.8540836191793808E-5</v>
      </c>
    </row>
    <row r="155" spans="1:43" x14ac:dyDescent="0.45">
      <c r="C155" s="15"/>
      <c r="D155" s="15"/>
      <c r="E155" s="15"/>
      <c r="F155" s="15"/>
      <c r="G155" s="22"/>
      <c r="H155" s="15"/>
      <c r="I155" s="15"/>
      <c r="J155" s="22"/>
      <c r="K155" s="15"/>
      <c r="L155" s="15"/>
      <c r="M155" s="22"/>
      <c r="N155" s="15"/>
      <c r="O155" s="15"/>
      <c r="P155" s="22"/>
      <c r="Q155" s="15"/>
      <c r="R155" s="15"/>
      <c r="S155" s="22"/>
      <c r="T155" s="15"/>
      <c r="U155" s="15"/>
      <c r="V155" s="22"/>
      <c r="W155" s="15"/>
      <c r="X155" s="15"/>
      <c r="Y155" s="22"/>
      <c r="Z155" s="15"/>
      <c r="AA155" s="15"/>
      <c r="AB155" s="22"/>
      <c r="AC155" s="15"/>
      <c r="AD155" s="15"/>
      <c r="AE155" s="22"/>
      <c r="AF155" s="15"/>
      <c r="AG155" s="15"/>
      <c r="AH155" s="22"/>
      <c r="AI155" s="15"/>
      <c r="AJ155" s="15"/>
      <c r="AK155" s="22"/>
      <c r="AL155" s="15"/>
      <c r="AM155" s="15"/>
      <c r="AN155" s="22"/>
      <c r="AO155" s="15"/>
      <c r="AP155" s="15"/>
      <c r="AQ155" s="22"/>
    </row>
    <row r="156" spans="1:43" x14ac:dyDescent="0.45">
      <c r="A156" s="7" t="s">
        <v>543</v>
      </c>
      <c r="B156" s="49"/>
      <c r="C156" s="20">
        <f>C132-C137-C145-C154</f>
        <v>-109934</v>
      </c>
      <c r="D156" s="20">
        <f ca="1">D132-D137-D145-D154</f>
        <v>-347797.96999999951</v>
      </c>
      <c r="E156" s="20">
        <f ca="1">E132-E137-E145-E154</f>
        <v>-44945.833333333336</v>
      </c>
      <c r="F156" s="20">
        <f ca="1">D156-E156</f>
        <v>-302852.13666666619</v>
      </c>
      <c r="G156" s="27">
        <f ca="1">IF(E156=0,0,D156/E156-1)</f>
        <v>6.738158227496049</v>
      </c>
      <c r="H156" s="30">
        <f>H132-H137-H145-H154</f>
        <v>-8989</v>
      </c>
      <c r="I156" s="30">
        <f>I132-I137-I145-I154</f>
        <v>-8989.1666666666679</v>
      </c>
      <c r="J156" s="33">
        <f>IF(I156=0,0,H156/I156-1)</f>
        <v>-1.8540836191793808E-5</v>
      </c>
      <c r="K156" s="30">
        <f>K132-K137-K145-K154</f>
        <v>-8989</v>
      </c>
      <c r="L156" s="30">
        <f>L132-L137-L145-L154</f>
        <v>-8989.1666666666679</v>
      </c>
      <c r="M156" s="33">
        <f>IF(L156=0,0,K156/L156-1)</f>
        <v>-1.8540836191793808E-5</v>
      </c>
      <c r="N156" s="30">
        <f>N132-N137-N145-N154</f>
        <v>-109939.98999999982</v>
      </c>
      <c r="O156" s="30">
        <f>O132-O137-O145-O154</f>
        <v>-8989.1666666666679</v>
      </c>
      <c r="P156" s="33">
        <f>IF(O156=0,0,N156/O156-1)</f>
        <v>11.230276073050872</v>
      </c>
      <c r="Q156" s="30">
        <f>Q132-Q137-Q145-Q154</f>
        <v>-109939.98999999982</v>
      </c>
      <c r="R156" s="30">
        <f>R132-R137-R145-R154</f>
        <v>-8989.1666666666679</v>
      </c>
      <c r="S156" s="33">
        <f>IF(R156=0,0,Q156/R156-1)</f>
        <v>11.230276073050872</v>
      </c>
      <c r="T156" s="30">
        <f>T132-T137-T145-T154</f>
        <v>-109939.98999999982</v>
      </c>
      <c r="U156" s="30">
        <f>U132-U137-U145-U154</f>
        <v>-8989.1666666666679</v>
      </c>
      <c r="V156" s="33">
        <f>IF(U156=0,0,T156/U156-1)</f>
        <v>11.230276073050872</v>
      </c>
      <c r="W156" s="30">
        <f>W132-W137-W145-W154</f>
        <v>-8989</v>
      </c>
      <c r="X156" s="30">
        <f>X132-X137-X145-X154</f>
        <v>-8989.1666666666679</v>
      </c>
      <c r="Y156" s="33">
        <f>IF(X156=0,0,W156/X156-1)</f>
        <v>-1.8540836191793808E-5</v>
      </c>
      <c r="Z156" s="30">
        <f>Z132-Z137-Z145-Z154</f>
        <v>-8989</v>
      </c>
      <c r="AA156" s="30">
        <f>AA132-AA137-AA145-AA154</f>
        <v>-8989.1666666666679</v>
      </c>
      <c r="AB156" s="33">
        <f>IF(AA156=0,0,Z156/AA156-1)</f>
        <v>-1.8540836191793808E-5</v>
      </c>
      <c r="AC156" s="30">
        <f>AC132-AC137-AC145-AC154</f>
        <v>-8989</v>
      </c>
      <c r="AD156" s="30">
        <f>AD132-AD137-AD145-AD154</f>
        <v>-8989.1666666666679</v>
      </c>
      <c r="AE156" s="33">
        <f>IF(AD156=0,0,AC156/AD156-1)</f>
        <v>-1.8540836191793808E-5</v>
      </c>
      <c r="AF156" s="30">
        <f>AF132-AF137-AF145-AF154</f>
        <v>-8989</v>
      </c>
      <c r="AG156" s="30">
        <f>AG132-AG137-AG145-AG154</f>
        <v>-8989.1666666666679</v>
      </c>
      <c r="AH156" s="33">
        <f>IF(AG156=0,0,AF156/AG156-1)</f>
        <v>-1.8540836191793808E-5</v>
      </c>
      <c r="AI156" s="30">
        <f>AI132-AI137-AI145-AI154</f>
        <v>-8989</v>
      </c>
      <c r="AJ156" s="30">
        <f>AJ132-AJ137-AJ145-AJ154</f>
        <v>-8989.1666666666679</v>
      </c>
      <c r="AK156" s="33">
        <f>IF(AJ156=0,0,AI156/AJ156-1)</f>
        <v>-1.8540836191793808E-5</v>
      </c>
      <c r="AL156" s="30">
        <f>AL132-AL137-AL145-AL154</f>
        <v>-8989</v>
      </c>
      <c r="AM156" s="30">
        <f>AM132-AM137-AM145-AM154</f>
        <v>-8989.1666666666679</v>
      </c>
      <c r="AN156" s="33">
        <f>IF(AM156=0,0,AL156/AM156-1)</f>
        <v>-1.8540836191793808E-5</v>
      </c>
      <c r="AO156" s="30">
        <f>AO132-AO137-AO145-AO154</f>
        <v>-8989</v>
      </c>
      <c r="AP156" s="30">
        <f>AP132-AP137-AP145-AP154</f>
        <v>-8989.1666666666679</v>
      </c>
      <c r="AQ156" s="33">
        <f>IF(AP156=0,0,AO156/AP156-1)</f>
        <v>-1.8540836191793808E-5</v>
      </c>
    </row>
  </sheetData>
  <mergeCells count="1">
    <mergeCell ref="D9:G9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A9E3-A9C3-4D81-B668-E5A536C91923}">
  <dimension ref="A1:G13"/>
  <sheetViews>
    <sheetView workbookViewId="0"/>
  </sheetViews>
  <sheetFormatPr baseColWidth="10" defaultRowHeight="14.25" x14ac:dyDescent="0.45"/>
  <cols>
    <col min="2" max="2" width="12.73046875" customWidth="1"/>
    <col min="5" max="5" width="17.73046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600101010</v>
      </c>
      <c r="B2" t="s">
        <v>7</v>
      </c>
      <c r="C2" t="s">
        <v>8</v>
      </c>
      <c r="D2" t="s">
        <v>9</v>
      </c>
      <c r="E2">
        <v>38752</v>
      </c>
    </row>
    <row r="3" spans="1:7" x14ac:dyDescent="0.45">
      <c r="A3">
        <v>60010101550</v>
      </c>
      <c r="B3" t="s">
        <v>10</v>
      </c>
      <c r="C3" t="s">
        <v>8</v>
      </c>
      <c r="D3" t="s">
        <v>9</v>
      </c>
      <c r="E3">
        <v>36400</v>
      </c>
    </row>
    <row r="4" spans="1:7" x14ac:dyDescent="0.45">
      <c r="A4">
        <v>600151051</v>
      </c>
      <c r="B4" t="s">
        <v>11</v>
      </c>
      <c r="C4" t="s">
        <v>8</v>
      </c>
      <c r="D4" t="s">
        <v>9</v>
      </c>
      <c r="E4">
        <v>16248</v>
      </c>
    </row>
    <row r="5" spans="1:7" x14ac:dyDescent="0.45">
      <c r="A5">
        <v>600151053</v>
      </c>
      <c r="B5" t="s">
        <v>12</v>
      </c>
      <c r="C5" t="s">
        <v>8</v>
      </c>
      <c r="D5" t="s">
        <v>9</v>
      </c>
      <c r="E5">
        <v>64998</v>
      </c>
    </row>
    <row r="6" spans="1:7" x14ac:dyDescent="0.45">
      <c r="A6">
        <v>6401552</v>
      </c>
      <c r="B6" t="s">
        <v>13</v>
      </c>
      <c r="C6" t="s">
        <v>14</v>
      </c>
      <c r="D6" t="s">
        <v>15</v>
      </c>
      <c r="E6">
        <v>102600</v>
      </c>
    </row>
    <row r="7" spans="1:7" x14ac:dyDescent="0.45">
      <c r="A7">
        <v>6401554</v>
      </c>
      <c r="B7" t="s">
        <v>16</v>
      </c>
      <c r="C7" t="s">
        <v>14</v>
      </c>
      <c r="D7" t="s">
        <v>15</v>
      </c>
      <c r="E7">
        <v>354989</v>
      </c>
    </row>
    <row r="8" spans="1:7" x14ac:dyDescent="0.45">
      <c r="A8">
        <v>6401557</v>
      </c>
      <c r="B8" t="s">
        <v>17</v>
      </c>
      <c r="C8" t="s">
        <v>14</v>
      </c>
      <c r="D8" t="s">
        <v>15</v>
      </c>
      <c r="E8">
        <v>90000</v>
      </c>
    </row>
    <row r="9" spans="1:7" x14ac:dyDescent="0.45">
      <c r="A9">
        <v>6901251</v>
      </c>
      <c r="B9" t="s">
        <v>18</v>
      </c>
      <c r="C9" t="s">
        <v>19</v>
      </c>
      <c r="D9" t="s">
        <v>20</v>
      </c>
      <c r="E9">
        <v>150339</v>
      </c>
    </row>
    <row r="10" spans="1:7" x14ac:dyDescent="0.45">
      <c r="A10">
        <v>7001010</v>
      </c>
      <c r="B10" t="s">
        <v>21</v>
      </c>
      <c r="C10" t="s">
        <v>22</v>
      </c>
      <c r="D10" t="s">
        <v>23</v>
      </c>
      <c r="E10">
        <v>30000</v>
      </c>
    </row>
    <row r="11" spans="1:7" x14ac:dyDescent="0.45">
      <c r="A11">
        <v>7101010</v>
      </c>
      <c r="B11" t="s">
        <v>24</v>
      </c>
      <c r="C11" t="s">
        <v>25</v>
      </c>
      <c r="D11" t="s">
        <v>26</v>
      </c>
      <c r="E11">
        <v>218721</v>
      </c>
    </row>
    <row r="12" spans="1:7" x14ac:dyDescent="0.45">
      <c r="A12">
        <v>720151015</v>
      </c>
      <c r="B12" t="s">
        <v>27</v>
      </c>
      <c r="C12" t="s">
        <v>28</v>
      </c>
      <c r="D12" t="s">
        <v>29</v>
      </c>
      <c r="E12">
        <v>0</v>
      </c>
      <c r="F12">
        <v>2467</v>
      </c>
      <c r="G12" t="s">
        <v>30</v>
      </c>
    </row>
    <row r="13" spans="1:7" x14ac:dyDescent="0.45">
      <c r="A13">
        <v>720151025</v>
      </c>
      <c r="B13" t="s">
        <v>31</v>
      </c>
      <c r="C13" t="s">
        <v>28</v>
      </c>
      <c r="D13" t="s">
        <v>29</v>
      </c>
      <c r="E13">
        <v>0</v>
      </c>
      <c r="F13">
        <v>12019</v>
      </c>
      <c r="G13" t="s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CDDD-A3CA-4BEA-9ED1-A2753BFBEF02}">
  <dimension ref="A1:E1030"/>
  <sheetViews>
    <sheetView workbookViewId="0">
      <selection activeCell="C1" sqref="C1:C1048576"/>
    </sheetView>
  </sheetViews>
  <sheetFormatPr baseColWidth="10" defaultRowHeight="14.25" x14ac:dyDescent="0.45"/>
  <cols>
    <col min="1" max="1" width="6.19921875" bestFit="1" customWidth="1"/>
    <col min="2" max="2" width="7.86328125" bestFit="1" customWidth="1"/>
    <col min="3" max="3" width="11.73046875" style="4" bestFit="1" customWidth="1"/>
    <col min="4" max="4" width="33.73046875" bestFit="1" customWidth="1"/>
    <col min="5" max="5" width="10.265625" style="3" bestFit="1" customWidth="1"/>
  </cols>
  <sheetData>
    <row r="1" spans="1:5" x14ac:dyDescent="0.45">
      <c r="A1" t="s">
        <v>47</v>
      </c>
      <c r="B1" t="s">
        <v>48</v>
      </c>
      <c r="C1" s="4" t="s">
        <v>0</v>
      </c>
      <c r="D1" t="s">
        <v>1</v>
      </c>
      <c r="E1" s="3" t="s">
        <v>49</v>
      </c>
    </row>
    <row r="2" spans="1:5" x14ac:dyDescent="0.45">
      <c r="A2">
        <v>2026</v>
      </c>
      <c r="B2">
        <v>3</v>
      </c>
      <c r="C2" s="4">
        <v>60</v>
      </c>
      <c r="D2" t="s">
        <v>50</v>
      </c>
      <c r="E2" s="3">
        <v>66266.149999999994</v>
      </c>
    </row>
    <row r="3" spans="1:5" x14ac:dyDescent="0.45">
      <c r="A3">
        <v>2026</v>
      </c>
      <c r="B3">
        <v>3</v>
      </c>
      <c r="C3" s="4">
        <v>6015</v>
      </c>
      <c r="D3" t="s">
        <v>51</v>
      </c>
      <c r="E3" s="3">
        <v>12053.63</v>
      </c>
    </row>
    <row r="4" spans="1:5" x14ac:dyDescent="0.45">
      <c r="A4">
        <v>2026</v>
      </c>
      <c r="B4">
        <v>3</v>
      </c>
      <c r="C4" s="4">
        <v>601510</v>
      </c>
      <c r="D4" t="s">
        <v>51</v>
      </c>
      <c r="E4" s="3">
        <v>170102.51</v>
      </c>
    </row>
    <row r="5" spans="1:5" x14ac:dyDescent="0.45">
      <c r="A5">
        <v>2026</v>
      </c>
      <c r="B5">
        <v>3</v>
      </c>
      <c r="C5" s="4">
        <v>60151020</v>
      </c>
      <c r="D5" t="s">
        <v>52</v>
      </c>
      <c r="E5" s="3">
        <v>170102.51</v>
      </c>
    </row>
    <row r="6" spans="1:5" x14ac:dyDescent="0.45">
      <c r="A6">
        <v>2026</v>
      </c>
      <c r="B6">
        <v>3</v>
      </c>
      <c r="C6" s="4">
        <v>6015102010</v>
      </c>
      <c r="D6" t="s">
        <v>53</v>
      </c>
      <c r="E6" s="3">
        <v>88079.1</v>
      </c>
    </row>
    <row r="7" spans="1:5" x14ac:dyDescent="0.45">
      <c r="A7">
        <v>2026</v>
      </c>
      <c r="B7">
        <v>3</v>
      </c>
      <c r="C7" s="4">
        <v>6015102015</v>
      </c>
      <c r="D7" t="s">
        <v>54</v>
      </c>
      <c r="E7" s="3">
        <v>54585.24</v>
      </c>
    </row>
    <row r="8" spans="1:5" x14ac:dyDescent="0.45">
      <c r="A8">
        <v>2026</v>
      </c>
      <c r="B8">
        <v>3</v>
      </c>
      <c r="C8" s="4">
        <v>6015102050</v>
      </c>
      <c r="D8" t="s">
        <v>55</v>
      </c>
      <c r="E8" s="3">
        <v>26162.17</v>
      </c>
    </row>
    <row r="9" spans="1:5" x14ac:dyDescent="0.45">
      <c r="A9">
        <v>2026</v>
      </c>
      <c r="B9">
        <v>3</v>
      </c>
      <c r="C9" s="4">
        <v>6015102051</v>
      </c>
      <c r="D9" t="s">
        <v>56</v>
      </c>
      <c r="E9" s="3">
        <v>1276</v>
      </c>
    </row>
    <row r="10" spans="1:5" x14ac:dyDescent="0.45">
      <c r="A10">
        <v>2026</v>
      </c>
      <c r="B10">
        <v>3</v>
      </c>
      <c r="C10" s="4">
        <v>601515</v>
      </c>
      <c r="D10" t="s">
        <v>57</v>
      </c>
      <c r="E10" s="3">
        <v>-158048.88</v>
      </c>
    </row>
    <row r="11" spans="1:5" x14ac:dyDescent="0.45">
      <c r="A11">
        <v>2026</v>
      </c>
      <c r="B11">
        <v>3</v>
      </c>
      <c r="C11" s="4">
        <v>60151520</v>
      </c>
      <c r="D11" t="s">
        <v>58</v>
      </c>
      <c r="E11" s="3">
        <v>-158048.88</v>
      </c>
    </row>
    <row r="12" spans="1:5" x14ac:dyDescent="0.45">
      <c r="A12">
        <v>2026</v>
      </c>
      <c r="B12">
        <v>3</v>
      </c>
      <c r="C12" s="4">
        <v>6015152010</v>
      </c>
      <c r="D12" t="s">
        <v>59</v>
      </c>
      <c r="E12" s="3">
        <v>-88079.1</v>
      </c>
    </row>
    <row r="13" spans="1:5" x14ac:dyDescent="0.45">
      <c r="A13">
        <v>2026</v>
      </c>
      <c r="B13">
        <v>3</v>
      </c>
      <c r="C13" s="4">
        <v>6015152012</v>
      </c>
      <c r="D13" t="s">
        <v>60</v>
      </c>
      <c r="E13" s="3">
        <v>-43790.79</v>
      </c>
    </row>
    <row r="14" spans="1:5" x14ac:dyDescent="0.45">
      <c r="A14">
        <v>2026</v>
      </c>
      <c r="B14">
        <v>3</v>
      </c>
      <c r="C14" s="4">
        <v>6015152050</v>
      </c>
      <c r="D14" t="s">
        <v>61</v>
      </c>
      <c r="E14" s="3">
        <v>-24902.99</v>
      </c>
    </row>
    <row r="15" spans="1:5" x14ac:dyDescent="0.45">
      <c r="A15">
        <v>2026</v>
      </c>
      <c r="B15">
        <v>3</v>
      </c>
      <c r="C15" s="4">
        <v>6015152051</v>
      </c>
      <c r="D15" t="s">
        <v>62</v>
      </c>
      <c r="E15" s="3">
        <v>-1276</v>
      </c>
    </row>
    <row r="16" spans="1:5" x14ac:dyDescent="0.45">
      <c r="A16">
        <v>2026</v>
      </c>
      <c r="B16">
        <v>3</v>
      </c>
      <c r="C16" s="4">
        <v>6020</v>
      </c>
      <c r="D16" t="s">
        <v>63</v>
      </c>
      <c r="E16" s="3">
        <v>8620.0499999999993</v>
      </c>
    </row>
    <row r="17" spans="1:5" x14ac:dyDescent="0.45">
      <c r="A17">
        <v>2026</v>
      </c>
      <c r="B17">
        <v>3</v>
      </c>
      <c r="C17" s="4">
        <v>602010</v>
      </c>
      <c r="D17" t="s">
        <v>63</v>
      </c>
      <c r="E17" s="3">
        <v>25259.27</v>
      </c>
    </row>
    <row r="18" spans="1:5" x14ac:dyDescent="0.45">
      <c r="A18">
        <v>2026</v>
      </c>
      <c r="B18">
        <v>3</v>
      </c>
      <c r="C18" s="4">
        <v>60201010</v>
      </c>
      <c r="D18" t="s">
        <v>64</v>
      </c>
      <c r="E18" s="3">
        <v>25259.27</v>
      </c>
    </row>
    <row r="19" spans="1:5" x14ac:dyDescent="0.45">
      <c r="A19">
        <v>2026</v>
      </c>
      <c r="B19">
        <v>3</v>
      </c>
      <c r="C19" s="4">
        <v>6020101050</v>
      </c>
      <c r="D19" t="s">
        <v>65</v>
      </c>
      <c r="E19" s="3">
        <v>750.71</v>
      </c>
    </row>
    <row r="20" spans="1:5" x14ac:dyDescent="0.45">
      <c r="A20">
        <v>2026</v>
      </c>
      <c r="B20">
        <v>3</v>
      </c>
      <c r="C20" s="4">
        <v>6020101051</v>
      </c>
      <c r="D20" t="s">
        <v>66</v>
      </c>
      <c r="E20" s="3">
        <v>5384.4</v>
      </c>
    </row>
    <row r="21" spans="1:5" x14ac:dyDescent="0.45">
      <c r="A21">
        <v>2026</v>
      </c>
      <c r="B21">
        <v>3</v>
      </c>
      <c r="C21" s="4">
        <v>6020101052</v>
      </c>
      <c r="D21" t="s">
        <v>67</v>
      </c>
      <c r="E21" s="3">
        <v>374.93</v>
      </c>
    </row>
    <row r="22" spans="1:5" x14ac:dyDescent="0.45">
      <c r="A22">
        <v>2026</v>
      </c>
      <c r="B22">
        <v>3</v>
      </c>
      <c r="C22" s="4">
        <v>6020101053</v>
      </c>
      <c r="D22" t="s">
        <v>68</v>
      </c>
      <c r="E22" s="3">
        <v>18749.23</v>
      </c>
    </row>
    <row r="23" spans="1:5" x14ac:dyDescent="0.45">
      <c r="A23">
        <v>2026</v>
      </c>
      <c r="B23">
        <v>3</v>
      </c>
      <c r="C23" s="4">
        <v>602015</v>
      </c>
      <c r="D23" t="s">
        <v>69</v>
      </c>
      <c r="E23" s="3">
        <v>-16639.22</v>
      </c>
    </row>
    <row r="24" spans="1:5" x14ac:dyDescent="0.45">
      <c r="A24">
        <v>2026</v>
      </c>
      <c r="B24">
        <v>3</v>
      </c>
      <c r="C24" s="4">
        <v>60201510</v>
      </c>
      <c r="D24" t="s">
        <v>70</v>
      </c>
      <c r="E24" s="3">
        <v>-16639.22</v>
      </c>
    </row>
    <row r="25" spans="1:5" x14ac:dyDescent="0.45">
      <c r="A25">
        <v>2026</v>
      </c>
      <c r="B25">
        <v>3</v>
      </c>
      <c r="C25" s="4">
        <v>6020151050</v>
      </c>
      <c r="D25" t="s">
        <v>71</v>
      </c>
      <c r="E25" s="3">
        <v>-750.71</v>
      </c>
    </row>
    <row r="26" spans="1:5" x14ac:dyDescent="0.45">
      <c r="A26">
        <v>2026</v>
      </c>
      <c r="B26">
        <v>3</v>
      </c>
      <c r="C26" s="4">
        <v>6020151051</v>
      </c>
      <c r="D26" t="s">
        <v>72</v>
      </c>
      <c r="E26" s="3">
        <v>-5384.4</v>
      </c>
    </row>
    <row r="27" spans="1:5" x14ac:dyDescent="0.45">
      <c r="A27">
        <v>2026</v>
      </c>
      <c r="B27">
        <v>3</v>
      </c>
      <c r="C27" s="4">
        <v>6020151052</v>
      </c>
      <c r="D27" t="s">
        <v>73</v>
      </c>
      <c r="E27" s="3">
        <v>-374.93</v>
      </c>
    </row>
    <row r="28" spans="1:5" x14ac:dyDescent="0.45">
      <c r="A28">
        <v>2026</v>
      </c>
      <c r="B28">
        <v>3</v>
      </c>
      <c r="C28" s="4">
        <v>6020151053</v>
      </c>
      <c r="D28" t="s">
        <v>74</v>
      </c>
      <c r="E28" s="3">
        <v>-10129.18</v>
      </c>
    </row>
    <row r="29" spans="1:5" x14ac:dyDescent="0.45">
      <c r="A29">
        <v>2026</v>
      </c>
      <c r="B29">
        <v>3</v>
      </c>
      <c r="C29" s="4">
        <v>6025</v>
      </c>
      <c r="D29" t="s">
        <v>75</v>
      </c>
      <c r="E29" s="3">
        <v>45592.47</v>
      </c>
    </row>
    <row r="30" spans="1:5" x14ac:dyDescent="0.45">
      <c r="A30">
        <v>2026</v>
      </c>
      <c r="B30">
        <v>3</v>
      </c>
      <c r="C30" s="4">
        <v>602510</v>
      </c>
      <c r="D30" t="s">
        <v>75</v>
      </c>
      <c r="E30" s="3">
        <v>464489.53</v>
      </c>
    </row>
    <row r="31" spans="1:5" x14ac:dyDescent="0.45">
      <c r="A31">
        <v>2026</v>
      </c>
      <c r="B31">
        <v>3</v>
      </c>
      <c r="C31" s="4">
        <v>60251010</v>
      </c>
      <c r="D31" t="s">
        <v>76</v>
      </c>
      <c r="E31" s="3">
        <v>352014.48</v>
      </c>
    </row>
    <row r="32" spans="1:5" x14ac:dyDescent="0.45">
      <c r="A32">
        <v>2026</v>
      </c>
      <c r="B32">
        <v>3</v>
      </c>
      <c r="C32" s="4">
        <v>6025101010</v>
      </c>
      <c r="D32" t="s">
        <v>76</v>
      </c>
      <c r="E32" s="3">
        <v>99206.03</v>
      </c>
    </row>
    <row r="33" spans="1:5" x14ac:dyDescent="0.45">
      <c r="A33">
        <v>2026</v>
      </c>
      <c r="B33">
        <v>3</v>
      </c>
      <c r="C33" s="4">
        <v>6025101050</v>
      </c>
      <c r="D33" t="s">
        <v>77</v>
      </c>
      <c r="E33" s="3">
        <v>88188.1</v>
      </c>
    </row>
    <row r="34" spans="1:5" x14ac:dyDescent="0.45">
      <c r="A34">
        <v>2026</v>
      </c>
      <c r="B34">
        <v>3</v>
      </c>
      <c r="C34" s="4">
        <v>6025101051</v>
      </c>
      <c r="D34" t="s">
        <v>78</v>
      </c>
      <c r="E34" s="3">
        <v>164620.35</v>
      </c>
    </row>
    <row r="35" spans="1:5" x14ac:dyDescent="0.45">
      <c r="A35">
        <v>2026</v>
      </c>
      <c r="B35">
        <v>3</v>
      </c>
      <c r="C35" s="4">
        <v>60251015</v>
      </c>
      <c r="D35" t="s">
        <v>75</v>
      </c>
      <c r="E35" s="3">
        <v>112475.05</v>
      </c>
    </row>
    <row r="36" spans="1:5" x14ac:dyDescent="0.45">
      <c r="A36">
        <v>2026</v>
      </c>
      <c r="B36">
        <v>3</v>
      </c>
      <c r="C36" s="4">
        <v>6025101510</v>
      </c>
      <c r="D36" t="s">
        <v>79</v>
      </c>
      <c r="E36" s="3">
        <v>41411.339999999997</v>
      </c>
    </row>
    <row r="37" spans="1:5" x14ac:dyDescent="0.45">
      <c r="A37">
        <v>2026</v>
      </c>
      <c r="B37">
        <v>3</v>
      </c>
      <c r="C37" s="4">
        <v>6025101550</v>
      </c>
      <c r="D37" t="s">
        <v>80</v>
      </c>
      <c r="E37" s="3">
        <v>16241.27</v>
      </c>
    </row>
    <row r="38" spans="1:5" x14ac:dyDescent="0.45">
      <c r="A38">
        <v>2026</v>
      </c>
      <c r="B38">
        <v>3</v>
      </c>
      <c r="C38" s="4">
        <v>6025101553</v>
      </c>
      <c r="D38" t="s">
        <v>81</v>
      </c>
      <c r="E38" s="3">
        <v>48759.14</v>
      </c>
    </row>
    <row r="39" spans="1:5" x14ac:dyDescent="0.45">
      <c r="A39">
        <v>2026</v>
      </c>
      <c r="B39">
        <v>3</v>
      </c>
      <c r="C39" s="4">
        <v>6025101554</v>
      </c>
      <c r="D39" t="s">
        <v>82</v>
      </c>
      <c r="E39" s="3">
        <v>2198.3000000000002</v>
      </c>
    </row>
    <row r="40" spans="1:5" x14ac:dyDescent="0.45">
      <c r="A40">
        <v>2026</v>
      </c>
      <c r="B40">
        <v>3</v>
      </c>
      <c r="C40" s="4">
        <v>6025101555</v>
      </c>
      <c r="D40" t="s">
        <v>83</v>
      </c>
      <c r="E40" s="3">
        <v>3000</v>
      </c>
    </row>
    <row r="41" spans="1:5" x14ac:dyDescent="0.45">
      <c r="A41">
        <v>2026</v>
      </c>
      <c r="B41">
        <v>3</v>
      </c>
      <c r="C41" s="4">
        <v>6025101556</v>
      </c>
      <c r="D41" t="s">
        <v>84</v>
      </c>
      <c r="E41" s="3">
        <v>865</v>
      </c>
    </row>
    <row r="42" spans="1:5" x14ac:dyDescent="0.45">
      <c r="A42">
        <v>2026</v>
      </c>
      <c r="B42">
        <v>3</v>
      </c>
      <c r="C42" s="4">
        <v>602515</v>
      </c>
      <c r="D42" t="s">
        <v>85</v>
      </c>
      <c r="E42" s="3">
        <v>-418897.06</v>
      </c>
    </row>
    <row r="43" spans="1:5" x14ac:dyDescent="0.45">
      <c r="A43">
        <v>2026</v>
      </c>
      <c r="B43">
        <v>3</v>
      </c>
      <c r="C43" s="4">
        <v>60251510</v>
      </c>
      <c r="D43" t="s">
        <v>86</v>
      </c>
      <c r="E43" s="3">
        <v>-314208.65999999997</v>
      </c>
    </row>
    <row r="44" spans="1:5" x14ac:dyDescent="0.45">
      <c r="A44">
        <v>2026</v>
      </c>
      <c r="B44">
        <v>3</v>
      </c>
      <c r="C44" s="4">
        <v>6025151010</v>
      </c>
      <c r="D44" t="s">
        <v>86</v>
      </c>
      <c r="E44" s="3">
        <v>-68962.990000000005</v>
      </c>
    </row>
    <row r="45" spans="1:5" x14ac:dyDescent="0.45">
      <c r="A45">
        <v>2026</v>
      </c>
      <c r="B45">
        <v>3</v>
      </c>
      <c r="C45" s="4">
        <v>6025151050</v>
      </c>
      <c r="D45" t="s">
        <v>87</v>
      </c>
      <c r="E45" s="3">
        <v>-80625.320000000007</v>
      </c>
    </row>
    <row r="46" spans="1:5" x14ac:dyDescent="0.45">
      <c r="A46">
        <v>2026</v>
      </c>
      <c r="B46">
        <v>3</v>
      </c>
      <c r="C46" s="4">
        <v>6025151051</v>
      </c>
      <c r="D46" t="s">
        <v>88</v>
      </c>
      <c r="E46" s="3">
        <v>-164620.35</v>
      </c>
    </row>
    <row r="47" spans="1:5" x14ac:dyDescent="0.45">
      <c r="A47">
        <v>2026</v>
      </c>
      <c r="B47">
        <v>3</v>
      </c>
      <c r="C47" s="4">
        <v>60251515</v>
      </c>
      <c r="D47" t="s">
        <v>89</v>
      </c>
      <c r="E47" s="3">
        <v>-102490.1</v>
      </c>
    </row>
    <row r="48" spans="1:5" x14ac:dyDescent="0.45">
      <c r="A48">
        <v>2026</v>
      </c>
      <c r="B48">
        <v>3</v>
      </c>
      <c r="C48" s="4">
        <v>6025151510</v>
      </c>
      <c r="D48" t="s">
        <v>89</v>
      </c>
      <c r="E48" s="3">
        <v>-36844.69</v>
      </c>
    </row>
    <row r="49" spans="1:5" x14ac:dyDescent="0.45">
      <c r="A49">
        <v>2026</v>
      </c>
      <c r="B49">
        <v>3</v>
      </c>
      <c r="C49" s="4">
        <v>6025151550</v>
      </c>
      <c r="D49" t="s">
        <v>90</v>
      </c>
      <c r="E49" s="3">
        <v>-13181.27</v>
      </c>
    </row>
    <row r="50" spans="1:5" x14ac:dyDescent="0.45">
      <c r="A50">
        <v>2026</v>
      </c>
      <c r="B50">
        <v>3</v>
      </c>
      <c r="C50" s="4">
        <v>6025151551</v>
      </c>
      <c r="D50" t="s">
        <v>91</v>
      </c>
      <c r="E50" s="3">
        <v>-48759.14</v>
      </c>
    </row>
    <row r="51" spans="1:5" x14ac:dyDescent="0.45">
      <c r="A51">
        <v>2026</v>
      </c>
      <c r="B51">
        <v>3</v>
      </c>
      <c r="C51" s="4">
        <v>6025151552</v>
      </c>
      <c r="D51" t="s">
        <v>92</v>
      </c>
      <c r="E51" s="3">
        <v>-3000</v>
      </c>
    </row>
    <row r="52" spans="1:5" x14ac:dyDescent="0.45">
      <c r="A52">
        <v>2026</v>
      </c>
      <c r="B52">
        <v>3</v>
      </c>
      <c r="C52" s="4">
        <v>6025151556</v>
      </c>
      <c r="D52" t="s">
        <v>93</v>
      </c>
      <c r="E52" s="3">
        <v>-705</v>
      </c>
    </row>
    <row r="53" spans="1:5" x14ac:dyDescent="0.45">
      <c r="A53">
        <v>2026</v>
      </c>
      <c r="B53">
        <v>3</v>
      </c>
      <c r="C53" s="4">
        <v>60251530</v>
      </c>
      <c r="D53" t="s">
        <v>85</v>
      </c>
      <c r="E53" s="3">
        <v>-2198.3000000000002</v>
      </c>
    </row>
    <row r="54" spans="1:5" x14ac:dyDescent="0.45">
      <c r="A54">
        <v>2026</v>
      </c>
      <c r="B54">
        <v>3</v>
      </c>
      <c r="C54" s="4">
        <v>6025153050</v>
      </c>
      <c r="D54" t="s">
        <v>94</v>
      </c>
      <c r="E54" s="3">
        <v>-2198.3000000000002</v>
      </c>
    </row>
    <row r="55" spans="1:5" x14ac:dyDescent="0.45">
      <c r="A55">
        <v>2026</v>
      </c>
      <c r="B55">
        <v>3</v>
      </c>
      <c r="C55" s="4">
        <v>90</v>
      </c>
      <c r="D55" t="s">
        <v>95</v>
      </c>
      <c r="E55" s="3">
        <v>53101.22</v>
      </c>
    </row>
    <row r="56" spans="1:5" x14ac:dyDescent="0.45">
      <c r="A56">
        <v>2026</v>
      </c>
      <c r="B56">
        <v>3</v>
      </c>
      <c r="C56" s="4">
        <v>9025</v>
      </c>
      <c r="D56" t="s">
        <v>96</v>
      </c>
      <c r="E56" s="3">
        <v>43172.42</v>
      </c>
    </row>
    <row r="57" spans="1:5" x14ac:dyDescent="0.45">
      <c r="A57">
        <v>2026</v>
      </c>
      <c r="B57">
        <v>3</v>
      </c>
      <c r="C57" s="4">
        <v>902510</v>
      </c>
      <c r="D57" t="s">
        <v>96</v>
      </c>
      <c r="E57" s="3">
        <v>43172.42</v>
      </c>
    </row>
    <row r="58" spans="1:5" x14ac:dyDescent="0.45">
      <c r="A58">
        <v>2026</v>
      </c>
      <c r="B58">
        <v>3</v>
      </c>
      <c r="C58" s="4">
        <v>90251010</v>
      </c>
      <c r="D58" t="s">
        <v>97</v>
      </c>
      <c r="E58" s="3">
        <v>4020.84</v>
      </c>
    </row>
    <row r="59" spans="1:5" x14ac:dyDescent="0.45">
      <c r="A59">
        <v>2026</v>
      </c>
      <c r="B59">
        <v>3</v>
      </c>
      <c r="C59" s="4">
        <v>90251051</v>
      </c>
      <c r="D59" t="s">
        <v>98</v>
      </c>
      <c r="E59" s="3">
        <v>39151.58</v>
      </c>
    </row>
    <row r="60" spans="1:5" x14ac:dyDescent="0.45">
      <c r="A60">
        <v>2026</v>
      </c>
      <c r="B60">
        <v>3</v>
      </c>
      <c r="C60" s="4">
        <v>9030</v>
      </c>
      <c r="D60" t="s">
        <v>99</v>
      </c>
      <c r="E60" s="3">
        <v>9928.7999999999993</v>
      </c>
    </row>
    <row r="61" spans="1:5" x14ac:dyDescent="0.45">
      <c r="A61">
        <v>2026</v>
      </c>
      <c r="B61">
        <v>3</v>
      </c>
      <c r="C61" s="4">
        <v>903010</v>
      </c>
      <c r="D61" t="s">
        <v>99</v>
      </c>
      <c r="E61" s="3">
        <v>9928.7999999999993</v>
      </c>
    </row>
    <row r="62" spans="1:5" x14ac:dyDescent="0.45">
      <c r="A62">
        <v>2026</v>
      </c>
      <c r="B62">
        <v>3</v>
      </c>
      <c r="C62" s="4">
        <v>90301015</v>
      </c>
      <c r="D62" t="s">
        <v>100</v>
      </c>
      <c r="E62" s="3">
        <v>9928.7999999999993</v>
      </c>
    </row>
    <row r="63" spans="1:5" x14ac:dyDescent="0.45">
      <c r="A63">
        <v>2026</v>
      </c>
      <c r="B63">
        <v>3</v>
      </c>
      <c r="C63" s="4">
        <v>100</v>
      </c>
      <c r="D63" t="s">
        <v>101</v>
      </c>
      <c r="E63" s="3">
        <v>364594.08</v>
      </c>
    </row>
    <row r="64" spans="1:5" x14ac:dyDescent="0.45">
      <c r="A64">
        <v>2026</v>
      </c>
      <c r="B64">
        <v>3</v>
      </c>
      <c r="C64" s="4">
        <v>10010</v>
      </c>
      <c r="D64" t="s">
        <v>102</v>
      </c>
      <c r="E64" s="3">
        <v>21450.65</v>
      </c>
    </row>
    <row r="65" spans="1:5" x14ac:dyDescent="0.45">
      <c r="A65">
        <v>2026</v>
      </c>
      <c r="B65">
        <v>3</v>
      </c>
      <c r="C65" s="4">
        <v>1001010</v>
      </c>
      <c r="D65" t="s">
        <v>103</v>
      </c>
      <c r="E65" s="3">
        <v>21450.65</v>
      </c>
    </row>
    <row r="66" spans="1:5" x14ac:dyDescent="0.45">
      <c r="A66">
        <v>2026</v>
      </c>
      <c r="B66">
        <v>3</v>
      </c>
      <c r="C66" s="4">
        <v>100101003</v>
      </c>
      <c r="D66" t="s">
        <v>104</v>
      </c>
      <c r="E66" s="3">
        <v>8540</v>
      </c>
    </row>
    <row r="67" spans="1:5" x14ac:dyDescent="0.45">
      <c r="A67">
        <v>2026</v>
      </c>
      <c r="B67">
        <v>3</v>
      </c>
      <c r="C67" s="4">
        <v>100101015</v>
      </c>
      <c r="D67" t="s">
        <v>105</v>
      </c>
      <c r="E67" s="3">
        <v>12910.65</v>
      </c>
    </row>
    <row r="68" spans="1:5" x14ac:dyDescent="0.45">
      <c r="A68">
        <v>2026</v>
      </c>
      <c r="B68">
        <v>3</v>
      </c>
      <c r="C68" s="4">
        <v>10030</v>
      </c>
      <c r="D68" t="s">
        <v>106</v>
      </c>
      <c r="E68" s="3">
        <v>343143.43</v>
      </c>
    </row>
    <row r="69" spans="1:5" x14ac:dyDescent="0.45">
      <c r="A69">
        <v>2026</v>
      </c>
      <c r="B69">
        <v>3</v>
      </c>
      <c r="C69" s="4">
        <v>1003010</v>
      </c>
      <c r="D69" t="s">
        <v>107</v>
      </c>
      <c r="E69" s="3">
        <v>343143.43</v>
      </c>
    </row>
    <row r="70" spans="1:5" x14ac:dyDescent="0.45">
      <c r="A70">
        <v>2026</v>
      </c>
      <c r="B70">
        <v>3</v>
      </c>
      <c r="C70" s="4">
        <v>100301003</v>
      </c>
      <c r="D70" t="s">
        <v>108</v>
      </c>
      <c r="E70" s="3">
        <v>1251.56</v>
      </c>
    </row>
    <row r="71" spans="1:5" x14ac:dyDescent="0.45">
      <c r="A71">
        <v>2026</v>
      </c>
      <c r="B71">
        <v>3</v>
      </c>
      <c r="C71" s="4">
        <v>10030100310</v>
      </c>
      <c r="D71" t="s">
        <v>109</v>
      </c>
      <c r="E71" s="3">
        <v>1251.56</v>
      </c>
    </row>
    <row r="72" spans="1:5" x14ac:dyDescent="0.45">
      <c r="A72">
        <v>2026</v>
      </c>
      <c r="B72">
        <v>3</v>
      </c>
      <c r="C72" s="4">
        <v>100301019</v>
      </c>
      <c r="D72" t="s">
        <v>110</v>
      </c>
      <c r="E72" s="3">
        <v>3118.13</v>
      </c>
    </row>
    <row r="73" spans="1:5" x14ac:dyDescent="0.45">
      <c r="A73">
        <v>2026</v>
      </c>
      <c r="B73">
        <v>3</v>
      </c>
      <c r="C73" s="4">
        <v>100301021</v>
      </c>
      <c r="D73" t="s">
        <v>111</v>
      </c>
      <c r="E73" s="3">
        <v>2180</v>
      </c>
    </row>
    <row r="74" spans="1:5" x14ac:dyDescent="0.45">
      <c r="A74">
        <v>2026</v>
      </c>
      <c r="B74">
        <v>3</v>
      </c>
      <c r="C74" s="4">
        <v>100301027</v>
      </c>
      <c r="D74" t="s">
        <v>112</v>
      </c>
      <c r="E74" s="3">
        <v>323932.5</v>
      </c>
    </row>
    <row r="75" spans="1:5" x14ac:dyDescent="0.45">
      <c r="A75">
        <v>2026</v>
      </c>
      <c r="B75">
        <v>3</v>
      </c>
      <c r="C75" s="4">
        <v>10030102721</v>
      </c>
      <c r="D75" t="s">
        <v>113</v>
      </c>
      <c r="E75" s="3">
        <v>8077.86</v>
      </c>
    </row>
    <row r="76" spans="1:5" x14ac:dyDescent="0.45">
      <c r="A76">
        <v>2026</v>
      </c>
      <c r="B76">
        <v>3</v>
      </c>
      <c r="C76" s="4">
        <v>10030102751</v>
      </c>
      <c r="D76" t="s">
        <v>114</v>
      </c>
      <c r="E76" s="3">
        <v>315564.48</v>
      </c>
    </row>
    <row r="77" spans="1:5" x14ac:dyDescent="0.45">
      <c r="A77">
        <v>2026</v>
      </c>
      <c r="B77">
        <v>3</v>
      </c>
      <c r="C77" s="4">
        <v>10030102752</v>
      </c>
      <c r="D77" t="s">
        <v>115</v>
      </c>
      <c r="E77" s="3">
        <v>290.16000000000003</v>
      </c>
    </row>
    <row r="78" spans="1:5" x14ac:dyDescent="0.45">
      <c r="A78">
        <v>2026</v>
      </c>
      <c r="B78">
        <v>3</v>
      </c>
      <c r="C78" s="4">
        <v>100301050</v>
      </c>
      <c r="D78" t="s">
        <v>116</v>
      </c>
      <c r="E78" s="3">
        <v>241.44</v>
      </c>
    </row>
    <row r="79" spans="1:5" x14ac:dyDescent="0.45">
      <c r="A79">
        <v>2026</v>
      </c>
      <c r="B79">
        <v>3</v>
      </c>
      <c r="C79" s="4">
        <v>100301051</v>
      </c>
      <c r="D79" t="s">
        <v>117</v>
      </c>
      <c r="E79" s="3">
        <v>619.79999999999995</v>
      </c>
    </row>
    <row r="80" spans="1:5" x14ac:dyDescent="0.45">
      <c r="A80">
        <v>2026</v>
      </c>
      <c r="B80">
        <v>3</v>
      </c>
      <c r="C80" s="4">
        <v>100301052</v>
      </c>
      <c r="D80" t="s">
        <v>118</v>
      </c>
      <c r="E80" s="3">
        <v>11800</v>
      </c>
    </row>
    <row r="81" spans="1:5" x14ac:dyDescent="0.45">
      <c r="A81">
        <v>2026</v>
      </c>
      <c r="B81">
        <v>3</v>
      </c>
      <c r="C81" s="4">
        <v>120</v>
      </c>
      <c r="D81" t="s">
        <v>119</v>
      </c>
      <c r="E81" s="3">
        <v>-230012.47</v>
      </c>
    </row>
    <row r="82" spans="1:5" x14ac:dyDescent="0.45">
      <c r="A82">
        <v>2026</v>
      </c>
      <c r="B82">
        <v>3</v>
      </c>
      <c r="C82" s="4">
        <v>12010</v>
      </c>
      <c r="D82" t="s">
        <v>120</v>
      </c>
      <c r="E82" s="3">
        <v>-231083.32</v>
      </c>
    </row>
    <row r="83" spans="1:5" x14ac:dyDescent="0.45">
      <c r="A83">
        <v>2026</v>
      </c>
      <c r="B83">
        <v>3</v>
      </c>
      <c r="C83" s="4">
        <v>1201015</v>
      </c>
      <c r="D83" t="s">
        <v>121</v>
      </c>
      <c r="E83" s="3">
        <v>-174631.07</v>
      </c>
    </row>
    <row r="84" spans="1:5" x14ac:dyDescent="0.45">
      <c r="A84">
        <v>2026</v>
      </c>
      <c r="B84">
        <v>3</v>
      </c>
      <c r="C84" s="4">
        <v>1201020</v>
      </c>
      <c r="D84" t="s">
        <v>122</v>
      </c>
      <c r="E84" s="3">
        <v>-56452.25</v>
      </c>
    </row>
    <row r="85" spans="1:5" x14ac:dyDescent="0.45">
      <c r="A85">
        <v>2026</v>
      </c>
      <c r="B85">
        <v>3</v>
      </c>
      <c r="C85" s="4">
        <v>12020</v>
      </c>
      <c r="D85" t="s">
        <v>123</v>
      </c>
      <c r="E85" s="3">
        <v>1070.8499999999999</v>
      </c>
    </row>
    <row r="86" spans="1:5" x14ac:dyDescent="0.45">
      <c r="A86">
        <v>2026</v>
      </c>
      <c r="B86">
        <v>3</v>
      </c>
      <c r="C86" s="4">
        <v>1202010</v>
      </c>
      <c r="D86" t="s">
        <v>124</v>
      </c>
      <c r="E86" s="3">
        <v>1027.3499999999999</v>
      </c>
    </row>
    <row r="87" spans="1:5" x14ac:dyDescent="0.45">
      <c r="A87">
        <v>2026</v>
      </c>
      <c r="B87">
        <v>3</v>
      </c>
      <c r="C87" s="4">
        <v>1202015</v>
      </c>
      <c r="D87" t="s">
        <v>125</v>
      </c>
      <c r="E87" s="3">
        <v>43.5</v>
      </c>
    </row>
    <row r="88" spans="1:5" x14ac:dyDescent="0.45">
      <c r="A88">
        <v>2026</v>
      </c>
      <c r="B88">
        <v>3</v>
      </c>
      <c r="C88" s="4">
        <v>140</v>
      </c>
      <c r="D88" t="s">
        <v>126</v>
      </c>
      <c r="E88" s="3">
        <v>14907.63</v>
      </c>
    </row>
    <row r="89" spans="1:5" x14ac:dyDescent="0.45">
      <c r="A89">
        <v>2026</v>
      </c>
      <c r="B89">
        <v>3</v>
      </c>
      <c r="C89" s="4">
        <v>14015</v>
      </c>
      <c r="D89" t="s">
        <v>127</v>
      </c>
      <c r="E89" s="3">
        <v>14907.63</v>
      </c>
    </row>
    <row r="90" spans="1:5" x14ac:dyDescent="0.45">
      <c r="A90">
        <v>2026</v>
      </c>
      <c r="B90">
        <v>3</v>
      </c>
      <c r="C90" s="4">
        <v>1401510</v>
      </c>
      <c r="D90" t="s">
        <v>127</v>
      </c>
      <c r="E90" s="3">
        <v>14907.63</v>
      </c>
    </row>
    <row r="91" spans="1:5" x14ac:dyDescent="0.45">
      <c r="A91">
        <v>2026</v>
      </c>
      <c r="B91">
        <v>3</v>
      </c>
      <c r="C91" s="4">
        <v>170</v>
      </c>
      <c r="D91" t="s">
        <v>128</v>
      </c>
      <c r="E91" s="3">
        <v>5500</v>
      </c>
    </row>
    <row r="92" spans="1:5" x14ac:dyDescent="0.45">
      <c r="A92">
        <v>2026</v>
      </c>
      <c r="B92">
        <v>3</v>
      </c>
      <c r="C92" s="4">
        <v>17050</v>
      </c>
      <c r="D92" t="s">
        <v>129</v>
      </c>
      <c r="E92" s="3">
        <v>5500</v>
      </c>
    </row>
    <row r="93" spans="1:5" x14ac:dyDescent="0.45">
      <c r="A93">
        <v>2026</v>
      </c>
      <c r="B93">
        <v>3</v>
      </c>
      <c r="C93" s="4">
        <v>240</v>
      </c>
      <c r="D93" t="s">
        <v>130</v>
      </c>
      <c r="E93" s="3">
        <v>-8922.24</v>
      </c>
    </row>
    <row r="94" spans="1:5" x14ac:dyDescent="0.45">
      <c r="A94">
        <v>2026</v>
      </c>
      <c r="B94">
        <v>3</v>
      </c>
      <c r="C94" s="4">
        <v>24015</v>
      </c>
      <c r="D94" t="s">
        <v>131</v>
      </c>
      <c r="E94" s="3">
        <v>-8922.24</v>
      </c>
    </row>
    <row r="95" spans="1:5" x14ac:dyDescent="0.45">
      <c r="A95">
        <v>2026</v>
      </c>
      <c r="B95">
        <v>3</v>
      </c>
      <c r="C95" s="4">
        <v>300</v>
      </c>
      <c r="D95" t="s">
        <v>132</v>
      </c>
      <c r="E95" s="3">
        <v>51275.62</v>
      </c>
    </row>
    <row r="96" spans="1:5" x14ac:dyDescent="0.45">
      <c r="A96">
        <v>2026</v>
      </c>
      <c r="B96">
        <v>3</v>
      </c>
      <c r="C96" s="4">
        <v>30010</v>
      </c>
      <c r="D96" t="s">
        <v>133</v>
      </c>
      <c r="E96" s="3">
        <v>51275.62</v>
      </c>
    </row>
    <row r="97" spans="1:5" x14ac:dyDescent="0.45">
      <c r="A97">
        <v>2026</v>
      </c>
      <c r="B97">
        <v>3</v>
      </c>
      <c r="C97" s="4">
        <v>360</v>
      </c>
      <c r="D97" t="s">
        <v>134</v>
      </c>
      <c r="E97" s="3">
        <v>6301.1</v>
      </c>
    </row>
    <row r="98" spans="1:5" x14ac:dyDescent="0.45">
      <c r="A98">
        <v>2026</v>
      </c>
      <c r="B98">
        <v>3</v>
      </c>
      <c r="C98" s="4">
        <v>36010</v>
      </c>
      <c r="D98" t="s">
        <v>135</v>
      </c>
      <c r="E98" s="3">
        <v>6301.1</v>
      </c>
    </row>
    <row r="99" spans="1:5" x14ac:dyDescent="0.45">
      <c r="A99">
        <v>2026</v>
      </c>
      <c r="B99">
        <v>3</v>
      </c>
      <c r="C99" s="4">
        <v>3601090</v>
      </c>
      <c r="D99" t="s">
        <v>136</v>
      </c>
      <c r="E99" s="3">
        <v>6301.1</v>
      </c>
    </row>
    <row r="100" spans="1:5" x14ac:dyDescent="0.45">
      <c r="A100">
        <v>2026</v>
      </c>
      <c r="B100">
        <v>3</v>
      </c>
      <c r="C100" s="4">
        <v>390</v>
      </c>
      <c r="D100" t="s">
        <v>137</v>
      </c>
      <c r="E100" s="3">
        <v>226477.54</v>
      </c>
    </row>
    <row r="101" spans="1:5" x14ac:dyDescent="0.45">
      <c r="A101">
        <v>2026</v>
      </c>
      <c r="B101">
        <v>3</v>
      </c>
      <c r="C101" s="4">
        <v>39010</v>
      </c>
      <c r="D101" t="s">
        <v>138</v>
      </c>
      <c r="E101" s="3">
        <v>226477.54</v>
      </c>
    </row>
    <row r="102" spans="1:5" x14ac:dyDescent="0.45">
      <c r="A102">
        <v>2026</v>
      </c>
      <c r="B102">
        <v>3</v>
      </c>
      <c r="C102" s="4">
        <v>3901010</v>
      </c>
      <c r="D102" t="s">
        <v>139</v>
      </c>
      <c r="E102" s="3">
        <v>151635.15</v>
      </c>
    </row>
    <row r="103" spans="1:5" x14ac:dyDescent="0.45">
      <c r="A103">
        <v>2026</v>
      </c>
      <c r="B103">
        <v>3</v>
      </c>
      <c r="C103" s="4">
        <v>3901015</v>
      </c>
      <c r="D103" t="s">
        <v>140</v>
      </c>
      <c r="E103" s="3">
        <v>74842.39</v>
      </c>
    </row>
    <row r="104" spans="1:5" x14ac:dyDescent="0.45">
      <c r="A104">
        <v>2026</v>
      </c>
      <c r="B104">
        <v>3</v>
      </c>
      <c r="C104" s="4">
        <v>440</v>
      </c>
      <c r="D104" t="s">
        <v>141</v>
      </c>
      <c r="E104" s="3">
        <v>5844.96</v>
      </c>
    </row>
    <row r="105" spans="1:5" x14ac:dyDescent="0.45">
      <c r="A105">
        <v>2026</v>
      </c>
      <c r="B105">
        <v>3</v>
      </c>
      <c r="C105" s="4">
        <v>44010</v>
      </c>
      <c r="D105" t="s">
        <v>141</v>
      </c>
      <c r="E105" s="3">
        <v>5844.96</v>
      </c>
    </row>
    <row r="106" spans="1:5" x14ac:dyDescent="0.45">
      <c r="A106">
        <v>2026</v>
      </c>
      <c r="B106">
        <v>3</v>
      </c>
      <c r="C106" s="4">
        <v>4401015</v>
      </c>
      <c r="D106" t="s">
        <v>142</v>
      </c>
      <c r="E106" s="3">
        <v>-822</v>
      </c>
    </row>
    <row r="107" spans="1:5" x14ac:dyDescent="0.45">
      <c r="A107">
        <v>2026</v>
      </c>
      <c r="B107">
        <v>3</v>
      </c>
      <c r="C107" s="4">
        <v>440101510</v>
      </c>
      <c r="D107" t="s">
        <v>143</v>
      </c>
      <c r="E107" s="3">
        <v>-822</v>
      </c>
    </row>
    <row r="108" spans="1:5" x14ac:dyDescent="0.45">
      <c r="A108">
        <v>2026</v>
      </c>
      <c r="B108">
        <v>3</v>
      </c>
      <c r="C108" s="4">
        <v>4401020</v>
      </c>
      <c r="D108" t="s">
        <v>144</v>
      </c>
      <c r="E108" s="3">
        <v>4604.38</v>
      </c>
    </row>
    <row r="109" spans="1:5" x14ac:dyDescent="0.45">
      <c r="A109">
        <v>2026</v>
      </c>
      <c r="B109">
        <v>3</v>
      </c>
      <c r="C109" s="4">
        <v>440102010</v>
      </c>
      <c r="D109" t="s">
        <v>145</v>
      </c>
      <c r="E109" s="3">
        <v>4200.78</v>
      </c>
    </row>
    <row r="110" spans="1:5" x14ac:dyDescent="0.45">
      <c r="A110">
        <v>2026</v>
      </c>
      <c r="B110">
        <v>3</v>
      </c>
      <c r="C110" s="4">
        <v>440102015</v>
      </c>
      <c r="D110" t="s">
        <v>146</v>
      </c>
      <c r="E110" s="3">
        <v>403.6</v>
      </c>
    </row>
    <row r="111" spans="1:5" x14ac:dyDescent="0.45">
      <c r="A111">
        <v>2026</v>
      </c>
      <c r="B111">
        <v>3</v>
      </c>
      <c r="C111" s="4">
        <v>4401025</v>
      </c>
      <c r="D111" t="s">
        <v>147</v>
      </c>
      <c r="E111" s="3">
        <v>2034.25</v>
      </c>
    </row>
    <row r="112" spans="1:5" x14ac:dyDescent="0.45">
      <c r="A112">
        <v>2026</v>
      </c>
      <c r="B112">
        <v>3</v>
      </c>
      <c r="C112" s="4">
        <v>440102510</v>
      </c>
      <c r="D112" t="s">
        <v>148</v>
      </c>
      <c r="E112" s="3">
        <v>2034.25</v>
      </c>
    </row>
    <row r="113" spans="1:5" x14ac:dyDescent="0.45">
      <c r="A113">
        <v>2026</v>
      </c>
      <c r="B113">
        <v>3</v>
      </c>
      <c r="C113" s="4">
        <v>4401030</v>
      </c>
      <c r="D113" t="s">
        <v>149</v>
      </c>
      <c r="E113" s="3">
        <v>28.33</v>
      </c>
    </row>
    <row r="114" spans="1:5" x14ac:dyDescent="0.45">
      <c r="A114">
        <v>2026</v>
      </c>
      <c r="B114">
        <v>3</v>
      </c>
      <c r="C114" s="4">
        <v>440103040</v>
      </c>
      <c r="D114" t="s">
        <v>150</v>
      </c>
      <c r="E114" s="3">
        <v>28.33</v>
      </c>
    </row>
    <row r="115" spans="1:5" x14ac:dyDescent="0.45">
      <c r="A115">
        <v>2026</v>
      </c>
      <c r="B115">
        <v>3</v>
      </c>
      <c r="C115" s="4">
        <v>450</v>
      </c>
      <c r="D115" t="s">
        <v>151</v>
      </c>
      <c r="E115" s="3">
        <v>12182.73</v>
      </c>
    </row>
    <row r="116" spans="1:5" x14ac:dyDescent="0.45">
      <c r="A116">
        <v>2026</v>
      </c>
      <c r="B116">
        <v>3</v>
      </c>
      <c r="C116" s="4">
        <v>45010</v>
      </c>
      <c r="D116" t="s">
        <v>152</v>
      </c>
      <c r="E116" s="3">
        <v>12182.73</v>
      </c>
    </row>
    <row r="117" spans="1:5" x14ac:dyDescent="0.45">
      <c r="A117">
        <v>2026</v>
      </c>
      <c r="B117">
        <v>3</v>
      </c>
      <c r="C117" s="4">
        <v>4501010</v>
      </c>
      <c r="D117" t="s">
        <v>153</v>
      </c>
      <c r="E117" s="3">
        <v>9627.81</v>
      </c>
    </row>
    <row r="118" spans="1:5" x14ac:dyDescent="0.45">
      <c r="A118">
        <v>2026</v>
      </c>
      <c r="B118">
        <v>3</v>
      </c>
      <c r="C118" s="4">
        <v>4501020</v>
      </c>
      <c r="D118" t="s">
        <v>154</v>
      </c>
      <c r="E118" s="3">
        <v>86.67</v>
      </c>
    </row>
    <row r="119" spans="1:5" x14ac:dyDescent="0.45">
      <c r="A119">
        <v>2026</v>
      </c>
      <c r="B119">
        <v>3</v>
      </c>
      <c r="C119" s="4">
        <v>4501028</v>
      </c>
      <c r="D119" t="s">
        <v>155</v>
      </c>
      <c r="E119" s="3">
        <v>28</v>
      </c>
    </row>
    <row r="120" spans="1:5" x14ac:dyDescent="0.45">
      <c r="A120">
        <v>2026</v>
      </c>
      <c r="B120">
        <v>3</v>
      </c>
      <c r="C120" s="4">
        <v>4501030</v>
      </c>
      <c r="D120" t="s">
        <v>156</v>
      </c>
      <c r="E120" s="3">
        <v>84.55</v>
      </c>
    </row>
    <row r="121" spans="1:5" x14ac:dyDescent="0.45">
      <c r="A121">
        <v>2026</v>
      </c>
      <c r="B121">
        <v>3</v>
      </c>
      <c r="C121" s="4">
        <v>4501054</v>
      </c>
      <c r="D121" t="s">
        <v>157</v>
      </c>
      <c r="E121" s="3">
        <v>2355.6999999999998</v>
      </c>
    </row>
    <row r="122" spans="1:5" x14ac:dyDescent="0.45">
      <c r="A122">
        <v>2026</v>
      </c>
      <c r="B122">
        <v>3</v>
      </c>
      <c r="C122" s="4">
        <v>460</v>
      </c>
      <c r="D122" t="s">
        <v>158</v>
      </c>
      <c r="E122" s="3">
        <v>19824.47</v>
      </c>
    </row>
    <row r="123" spans="1:5" x14ac:dyDescent="0.45">
      <c r="A123">
        <v>2026</v>
      </c>
      <c r="B123">
        <v>3</v>
      </c>
      <c r="C123" s="4">
        <v>46010</v>
      </c>
      <c r="D123" t="s">
        <v>159</v>
      </c>
      <c r="E123" s="3">
        <v>19761.47</v>
      </c>
    </row>
    <row r="124" spans="1:5" x14ac:dyDescent="0.45">
      <c r="A124">
        <v>2026</v>
      </c>
      <c r="B124">
        <v>3</v>
      </c>
      <c r="C124" s="4">
        <v>4601020</v>
      </c>
      <c r="D124" t="s">
        <v>160</v>
      </c>
      <c r="E124" s="3">
        <v>19569.27</v>
      </c>
    </row>
    <row r="125" spans="1:5" x14ac:dyDescent="0.45">
      <c r="A125">
        <v>2026</v>
      </c>
      <c r="B125">
        <v>3</v>
      </c>
      <c r="C125" s="4">
        <v>460102010</v>
      </c>
      <c r="D125" t="s">
        <v>161</v>
      </c>
      <c r="E125" s="3">
        <v>11390</v>
      </c>
    </row>
    <row r="126" spans="1:5" x14ac:dyDescent="0.45">
      <c r="A126">
        <v>2026</v>
      </c>
      <c r="B126">
        <v>3</v>
      </c>
      <c r="C126" s="4">
        <v>460102035</v>
      </c>
      <c r="D126" t="s">
        <v>162</v>
      </c>
      <c r="E126" s="3">
        <v>8179.27</v>
      </c>
    </row>
    <row r="127" spans="1:5" x14ac:dyDescent="0.45">
      <c r="A127">
        <v>2026</v>
      </c>
      <c r="B127">
        <v>3</v>
      </c>
      <c r="C127" s="4">
        <v>4601025</v>
      </c>
      <c r="D127" t="s">
        <v>163</v>
      </c>
      <c r="E127" s="3">
        <v>192.2</v>
      </c>
    </row>
    <row r="128" spans="1:5" x14ac:dyDescent="0.45">
      <c r="A128">
        <v>2026</v>
      </c>
      <c r="B128">
        <v>3</v>
      </c>
      <c r="C128" s="4">
        <v>460102520</v>
      </c>
      <c r="D128" t="s">
        <v>164</v>
      </c>
      <c r="E128" s="3">
        <v>192.2</v>
      </c>
    </row>
    <row r="129" spans="1:5" x14ac:dyDescent="0.45">
      <c r="A129">
        <v>2026</v>
      </c>
      <c r="B129">
        <v>3</v>
      </c>
      <c r="C129" s="4">
        <v>46015</v>
      </c>
      <c r="D129" t="s">
        <v>165</v>
      </c>
      <c r="E129" s="3">
        <v>63</v>
      </c>
    </row>
    <row r="130" spans="1:5" x14ac:dyDescent="0.45">
      <c r="A130">
        <v>2026</v>
      </c>
      <c r="B130">
        <v>3</v>
      </c>
      <c r="C130" s="4">
        <v>4601510</v>
      </c>
      <c r="D130" t="s">
        <v>166</v>
      </c>
      <c r="E130" s="3">
        <v>63</v>
      </c>
    </row>
    <row r="131" spans="1:5" x14ac:dyDescent="0.45">
      <c r="A131">
        <v>2026</v>
      </c>
      <c r="B131">
        <v>3</v>
      </c>
      <c r="C131" s="4">
        <v>460151040</v>
      </c>
      <c r="D131" t="s">
        <v>167</v>
      </c>
      <c r="E131" s="3">
        <v>63</v>
      </c>
    </row>
    <row r="132" spans="1:5" x14ac:dyDescent="0.45">
      <c r="A132">
        <v>2026</v>
      </c>
      <c r="B132">
        <v>3</v>
      </c>
      <c r="C132" s="4">
        <v>480</v>
      </c>
      <c r="D132" t="s">
        <v>168</v>
      </c>
      <c r="E132" s="3">
        <v>97624.46</v>
      </c>
    </row>
    <row r="133" spans="1:5" x14ac:dyDescent="0.45">
      <c r="A133">
        <v>2026</v>
      </c>
      <c r="B133">
        <v>3</v>
      </c>
      <c r="C133" s="4">
        <v>48010</v>
      </c>
      <c r="D133" t="s">
        <v>169</v>
      </c>
      <c r="E133" s="3">
        <v>94638.75</v>
      </c>
    </row>
    <row r="134" spans="1:5" x14ac:dyDescent="0.45">
      <c r="A134">
        <v>2026</v>
      </c>
      <c r="B134">
        <v>3</v>
      </c>
      <c r="C134" s="4">
        <v>4801010</v>
      </c>
      <c r="D134" t="s">
        <v>169</v>
      </c>
      <c r="E134" s="3">
        <v>7792.98</v>
      </c>
    </row>
    <row r="135" spans="1:5" x14ac:dyDescent="0.45">
      <c r="A135">
        <v>2026</v>
      </c>
      <c r="B135">
        <v>3</v>
      </c>
      <c r="C135" s="4">
        <v>4801051</v>
      </c>
      <c r="D135" t="s">
        <v>170</v>
      </c>
      <c r="E135" s="3">
        <v>6928.53</v>
      </c>
    </row>
    <row r="136" spans="1:5" x14ac:dyDescent="0.45">
      <c r="A136">
        <v>2026</v>
      </c>
      <c r="B136">
        <v>3</v>
      </c>
      <c r="C136" s="4">
        <v>4801052</v>
      </c>
      <c r="D136" t="s">
        <v>171</v>
      </c>
      <c r="E136" s="3">
        <v>78288.149999999994</v>
      </c>
    </row>
    <row r="137" spans="1:5" x14ac:dyDescent="0.45">
      <c r="A137">
        <v>2026</v>
      </c>
      <c r="B137">
        <v>3</v>
      </c>
      <c r="C137" s="4">
        <v>4801053</v>
      </c>
      <c r="D137" t="s">
        <v>172</v>
      </c>
      <c r="E137" s="3">
        <v>1629.09</v>
      </c>
    </row>
    <row r="138" spans="1:5" x14ac:dyDescent="0.45">
      <c r="A138">
        <v>2026</v>
      </c>
      <c r="B138">
        <v>3</v>
      </c>
      <c r="C138" s="4">
        <v>48015</v>
      </c>
      <c r="D138" t="s">
        <v>173</v>
      </c>
      <c r="E138" s="3">
        <v>2985.71</v>
      </c>
    </row>
    <row r="139" spans="1:5" x14ac:dyDescent="0.45">
      <c r="A139">
        <v>2026</v>
      </c>
      <c r="B139">
        <v>3</v>
      </c>
      <c r="C139" s="4">
        <v>600</v>
      </c>
      <c r="D139" t="s">
        <v>174</v>
      </c>
      <c r="E139" s="3">
        <v>256271.97</v>
      </c>
    </row>
    <row r="140" spans="1:5" x14ac:dyDescent="0.45">
      <c r="A140">
        <v>2026</v>
      </c>
      <c r="B140">
        <v>3</v>
      </c>
      <c r="C140" s="4">
        <v>60010</v>
      </c>
      <c r="D140" t="s">
        <v>175</v>
      </c>
      <c r="E140" s="3">
        <v>93858.559999999998</v>
      </c>
    </row>
    <row r="141" spans="1:5" x14ac:dyDescent="0.45">
      <c r="A141">
        <v>2026</v>
      </c>
      <c r="B141">
        <v>3</v>
      </c>
      <c r="C141" s="4">
        <v>6001010</v>
      </c>
      <c r="D141" t="s">
        <v>176</v>
      </c>
      <c r="E141" s="3">
        <v>93858.559999999998</v>
      </c>
    </row>
    <row r="142" spans="1:5" x14ac:dyDescent="0.45">
      <c r="A142">
        <v>2026</v>
      </c>
      <c r="B142">
        <v>3</v>
      </c>
      <c r="C142" s="4">
        <v>600101010</v>
      </c>
      <c r="D142" t="s">
        <v>177</v>
      </c>
      <c r="E142" s="3">
        <v>38751.519999999997</v>
      </c>
    </row>
    <row r="143" spans="1:5" x14ac:dyDescent="0.45">
      <c r="A143">
        <v>2026</v>
      </c>
      <c r="B143">
        <v>3</v>
      </c>
      <c r="C143" s="4">
        <v>600101015</v>
      </c>
      <c r="D143" t="s">
        <v>178</v>
      </c>
      <c r="E143" s="3">
        <v>45023.89</v>
      </c>
    </row>
    <row r="144" spans="1:5" x14ac:dyDescent="0.45">
      <c r="A144">
        <v>2026</v>
      </c>
      <c r="B144">
        <v>3</v>
      </c>
      <c r="C144" s="4">
        <v>60010101550</v>
      </c>
      <c r="D144" t="s">
        <v>179</v>
      </c>
      <c r="E144" s="3">
        <v>36400</v>
      </c>
    </row>
    <row r="145" spans="1:5" x14ac:dyDescent="0.45">
      <c r="A145">
        <v>2026</v>
      </c>
      <c r="B145">
        <v>3</v>
      </c>
      <c r="C145" s="4">
        <v>60010101551</v>
      </c>
      <c r="D145" t="s">
        <v>180</v>
      </c>
      <c r="E145" s="3">
        <v>8623.89</v>
      </c>
    </row>
    <row r="146" spans="1:5" x14ac:dyDescent="0.45">
      <c r="A146">
        <v>2026</v>
      </c>
      <c r="B146">
        <v>3</v>
      </c>
      <c r="C146" s="4">
        <v>600101051</v>
      </c>
      <c r="D146" t="s">
        <v>181</v>
      </c>
      <c r="E146" s="3">
        <v>10083.15</v>
      </c>
    </row>
    <row r="147" spans="1:5" x14ac:dyDescent="0.45">
      <c r="A147">
        <v>2026</v>
      </c>
      <c r="B147">
        <v>3</v>
      </c>
      <c r="C147" s="4">
        <v>60015</v>
      </c>
      <c r="D147" t="s">
        <v>182</v>
      </c>
      <c r="E147" s="3">
        <v>162413.41</v>
      </c>
    </row>
    <row r="148" spans="1:5" x14ac:dyDescent="0.45">
      <c r="A148">
        <v>2026</v>
      </c>
      <c r="B148">
        <v>3</v>
      </c>
      <c r="C148" s="4">
        <v>6001510</v>
      </c>
      <c r="D148" t="s">
        <v>183</v>
      </c>
      <c r="E148" s="3">
        <v>162413.41</v>
      </c>
    </row>
    <row r="149" spans="1:5" x14ac:dyDescent="0.45">
      <c r="A149">
        <v>2026</v>
      </c>
      <c r="B149">
        <v>3</v>
      </c>
      <c r="C149" s="4">
        <v>600151051</v>
      </c>
      <c r="D149" t="s">
        <v>184</v>
      </c>
      <c r="E149" s="3">
        <v>16248</v>
      </c>
    </row>
    <row r="150" spans="1:5" x14ac:dyDescent="0.45">
      <c r="A150">
        <v>2026</v>
      </c>
      <c r="B150">
        <v>3</v>
      </c>
      <c r="C150" s="4">
        <v>600151052</v>
      </c>
      <c r="D150" t="s">
        <v>185</v>
      </c>
      <c r="E150" s="3">
        <v>32913.81</v>
      </c>
    </row>
    <row r="151" spans="1:5" x14ac:dyDescent="0.45">
      <c r="A151">
        <v>2026</v>
      </c>
      <c r="B151">
        <v>3</v>
      </c>
      <c r="C151" s="4">
        <v>600151053</v>
      </c>
      <c r="D151" t="s">
        <v>186</v>
      </c>
      <c r="E151" s="3">
        <v>64998.36</v>
      </c>
    </row>
    <row r="152" spans="1:5" x14ac:dyDescent="0.45">
      <c r="A152">
        <v>2026</v>
      </c>
      <c r="B152">
        <v>3</v>
      </c>
      <c r="C152" s="4">
        <v>600151055</v>
      </c>
      <c r="D152" t="s">
        <v>187</v>
      </c>
      <c r="E152" s="3">
        <v>1327</v>
      </c>
    </row>
    <row r="153" spans="1:5" x14ac:dyDescent="0.45">
      <c r="A153">
        <v>2026</v>
      </c>
      <c r="B153">
        <v>3</v>
      </c>
      <c r="C153" s="4">
        <v>600151060</v>
      </c>
      <c r="D153" t="s">
        <v>188</v>
      </c>
      <c r="E153" s="3">
        <v>31597.58</v>
      </c>
    </row>
    <row r="154" spans="1:5" x14ac:dyDescent="0.45">
      <c r="A154">
        <v>2026</v>
      </c>
      <c r="B154">
        <v>3</v>
      </c>
      <c r="C154" s="4">
        <v>600151061</v>
      </c>
      <c r="D154" t="s">
        <v>189</v>
      </c>
      <c r="E154" s="3">
        <v>10229</v>
      </c>
    </row>
    <row r="155" spans="1:5" x14ac:dyDescent="0.45">
      <c r="A155">
        <v>2026</v>
      </c>
      <c r="B155">
        <v>3</v>
      </c>
      <c r="C155" s="4">
        <v>600151063</v>
      </c>
      <c r="D155" t="s">
        <v>190</v>
      </c>
      <c r="E155" s="3">
        <v>5099.66</v>
      </c>
    </row>
    <row r="156" spans="1:5" x14ac:dyDescent="0.45">
      <c r="A156">
        <v>2026</v>
      </c>
      <c r="B156">
        <v>3</v>
      </c>
      <c r="C156" s="4">
        <v>640</v>
      </c>
      <c r="D156" t="s">
        <v>191</v>
      </c>
      <c r="E156" s="3">
        <v>938481.38</v>
      </c>
    </row>
    <row r="157" spans="1:5" x14ac:dyDescent="0.45">
      <c r="A157">
        <v>2026</v>
      </c>
      <c r="B157">
        <v>3</v>
      </c>
      <c r="C157" s="4">
        <v>64003</v>
      </c>
      <c r="D157" t="s">
        <v>192</v>
      </c>
      <c r="E157" s="3">
        <v>9022.9500000000007</v>
      </c>
    </row>
    <row r="158" spans="1:5" x14ac:dyDescent="0.45">
      <c r="A158">
        <v>2026</v>
      </c>
      <c r="B158">
        <v>3</v>
      </c>
      <c r="C158" s="4">
        <v>6400335</v>
      </c>
      <c r="D158" t="s">
        <v>193</v>
      </c>
      <c r="E158" s="3">
        <v>9022.9500000000007</v>
      </c>
    </row>
    <row r="159" spans="1:5" x14ac:dyDescent="0.45">
      <c r="A159">
        <v>2026</v>
      </c>
      <c r="B159">
        <v>3</v>
      </c>
      <c r="C159" s="4">
        <v>64012</v>
      </c>
      <c r="D159" t="s">
        <v>194</v>
      </c>
      <c r="E159" s="3">
        <v>4809.79</v>
      </c>
    </row>
    <row r="160" spans="1:5" x14ac:dyDescent="0.45">
      <c r="A160">
        <v>2026</v>
      </c>
      <c r="B160">
        <v>3</v>
      </c>
      <c r="C160" s="4">
        <v>6401215</v>
      </c>
      <c r="D160" t="s">
        <v>195</v>
      </c>
      <c r="E160" s="3">
        <v>6.11</v>
      </c>
    </row>
    <row r="161" spans="1:5" x14ac:dyDescent="0.45">
      <c r="A161">
        <v>2026</v>
      </c>
      <c r="B161">
        <v>3</v>
      </c>
      <c r="C161" s="4">
        <v>6401232</v>
      </c>
      <c r="D161" t="s">
        <v>196</v>
      </c>
      <c r="E161" s="3">
        <v>1280</v>
      </c>
    </row>
    <row r="162" spans="1:5" x14ac:dyDescent="0.45">
      <c r="A162">
        <v>2026</v>
      </c>
      <c r="B162">
        <v>3</v>
      </c>
      <c r="C162" s="4">
        <v>640123204</v>
      </c>
      <c r="D162" t="s">
        <v>197</v>
      </c>
      <c r="E162" s="3">
        <v>1280</v>
      </c>
    </row>
    <row r="163" spans="1:5" x14ac:dyDescent="0.45">
      <c r="A163">
        <v>2026</v>
      </c>
      <c r="B163">
        <v>3</v>
      </c>
      <c r="C163" s="4">
        <v>6401233</v>
      </c>
      <c r="D163" t="s">
        <v>198</v>
      </c>
      <c r="E163" s="3">
        <v>299.95999999999998</v>
      </c>
    </row>
    <row r="164" spans="1:5" x14ac:dyDescent="0.45">
      <c r="A164">
        <v>2026</v>
      </c>
      <c r="B164">
        <v>3</v>
      </c>
      <c r="C164" s="4">
        <v>6401259</v>
      </c>
      <c r="D164" t="s">
        <v>199</v>
      </c>
      <c r="E164" s="3">
        <v>170.13</v>
      </c>
    </row>
    <row r="165" spans="1:5" x14ac:dyDescent="0.45">
      <c r="A165">
        <v>2026</v>
      </c>
      <c r="B165">
        <v>3</v>
      </c>
      <c r="C165" s="4">
        <v>6401260</v>
      </c>
      <c r="D165" t="s">
        <v>200</v>
      </c>
      <c r="E165" s="3">
        <v>3053.59</v>
      </c>
    </row>
    <row r="166" spans="1:5" x14ac:dyDescent="0.45">
      <c r="A166">
        <v>2026</v>
      </c>
      <c r="B166">
        <v>3</v>
      </c>
      <c r="C166" s="4">
        <v>64015</v>
      </c>
      <c r="D166" t="s">
        <v>201</v>
      </c>
      <c r="E166" s="3">
        <v>850768.74</v>
      </c>
    </row>
    <row r="167" spans="1:5" x14ac:dyDescent="0.45">
      <c r="A167">
        <v>2026</v>
      </c>
      <c r="B167">
        <v>3</v>
      </c>
      <c r="C167" s="4">
        <v>6401550</v>
      </c>
      <c r="D167" t="s">
        <v>202</v>
      </c>
      <c r="E167" s="3">
        <v>13500</v>
      </c>
    </row>
    <row r="168" spans="1:5" x14ac:dyDescent="0.45">
      <c r="A168">
        <v>2026</v>
      </c>
      <c r="B168">
        <v>3</v>
      </c>
      <c r="C168" s="4">
        <v>6401551</v>
      </c>
      <c r="D168" t="s">
        <v>203</v>
      </c>
      <c r="E168" s="3">
        <v>11900</v>
      </c>
    </row>
    <row r="169" spans="1:5" x14ac:dyDescent="0.45">
      <c r="A169">
        <v>2026</v>
      </c>
      <c r="B169">
        <v>3</v>
      </c>
      <c r="C169" s="4">
        <v>6401552</v>
      </c>
      <c r="D169" t="s">
        <v>204</v>
      </c>
      <c r="E169" s="3">
        <v>102600</v>
      </c>
    </row>
    <row r="170" spans="1:5" x14ac:dyDescent="0.45">
      <c r="A170">
        <v>2026</v>
      </c>
      <c r="B170">
        <v>3</v>
      </c>
      <c r="C170" s="4">
        <v>6401554</v>
      </c>
      <c r="D170" t="s">
        <v>205</v>
      </c>
      <c r="E170" s="3">
        <v>354988.74</v>
      </c>
    </row>
    <row r="171" spans="1:5" x14ac:dyDescent="0.45">
      <c r="A171">
        <v>2026</v>
      </c>
      <c r="B171">
        <v>3</v>
      </c>
      <c r="C171" s="4">
        <v>6401556</v>
      </c>
      <c r="D171" t="s">
        <v>206</v>
      </c>
      <c r="E171" s="3">
        <v>18000</v>
      </c>
    </row>
    <row r="172" spans="1:5" x14ac:dyDescent="0.45">
      <c r="A172">
        <v>2026</v>
      </c>
      <c r="B172">
        <v>3</v>
      </c>
      <c r="C172" s="4">
        <v>6401557</v>
      </c>
      <c r="D172" t="s">
        <v>207</v>
      </c>
      <c r="E172" s="3">
        <v>90000</v>
      </c>
    </row>
    <row r="173" spans="1:5" x14ac:dyDescent="0.45">
      <c r="A173">
        <v>2026</v>
      </c>
      <c r="B173">
        <v>3</v>
      </c>
      <c r="C173" s="4">
        <v>6401564</v>
      </c>
      <c r="D173" t="s">
        <v>208</v>
      </c>
      <c r="E173" s="3">
        <v>4780</v>
      </c>
    </row>
    <row r="174" spans="1:5" x14ac:dyDescent="0.45">
      <c r="A174">
        <v>2026</v>
      </c>
      <c r="B174">
        <v>3</v>
      </c>
      <c r="C174" s="4">
        <v>6401565</v>
      </c>
      <c r="D174" t="s">
        <v>209</v>
      </c>
      <c r="E174" s="3">
        <v>255000</v>
      </c>
    </row>
    <row r="175" spans="1:5" x14ac:dyDescent="0.45">
      <c r="A175">
        <v>2026</v>
      </c>
      <c r="B175">
        <v>3</v>
      </c>
      <c r="C175" s="4">
        <v>64017</v>
      </c>
      <c r="D175" t="s">
        <v>210</v>
      </c>
      <c r="E175" s="3">
        <v>73879.899999999994</v>
      </c>
    </row>
    <row r="176" spans="1:5" x14ac:dyDescent="0.45">
      <c r="A176">
        <v>2026</v>
      </c>
      <c r="B176">
        <v>3</v>
      </c>
      <c r="C176" s="4">
        <v>6401750</v>
      </c>
      <c r="D176" t="s">
        <v>211</v>
      </c>
      <c r="E176" s="3">
        <v>302.89999999999998</v>
      </c>
    </row>
    <row r="177" spans="1:5" x14ac:dyDescent="0.45">
      <c r="A177">
        <v>2026</v>
      </c>
      <c r="B177">
        <v>3</v>
      </c>
      <c r="C177" s="4">
        <v>6401751</v>
      </c>
      <c r="D177" t="s">
        <v>212</v>
      </c>
      <c r="E177" s="3">
        <v>73577</v>
      </c>
    </row>
    <row r="178" spans="1:5" x14ac:dyDescent="0.45">
      <c r="A178">
        <v>2026</v>
      </c>
      <c r="B178">
        <v>3</v>
      </c>
      <c r="C178" s="4">
        <v>680</v>
      </c>
      <c r="D178" t="s">
        <v>213</v>
      </c>
      <c r="E178" s="3">
        <v>54535.26</v>
      </c>
    </row>
    <row r="179" spans="1:5" x14ac:dyDescent="0.45">
      <c r="A179">
        <v>2026</v>
      </c>
      <c r="B179">
        <v>3</v>
      </c>
      <c r="C179" s="4">
        <v>68007</v>
      </c>
      <c r="D179" t="s">
        <v>214</v>
      </c>
      <c r="E179" s="3">
        <v>19050.12</v>
      </c>
    </row>
    <row r="180" spans="1:5" x14ac:dyDescent="0.45">
      <c r="A180">
        <v>2026</v>
      </c>
      <c r="B180">
        <v>3</v>
      </c>
      <c r="C180" s="4">
        <v>6800750</v>
      </c>
      <c r="D180" t="s">
        <v>215</v>
      </c>
      <c r="E180" s="3">
        <v>11063.34</v>
      </c>
    </row>
    <row r="181" spans="1:5" x14ac:dyDescent="0.45">
      <c r="A181">
        <v>2026</v>
      </c>
      <c r="B181">
        <v>3</v>
      </c>
      <c r="C181" s="4">
        <v>6800751</v>
      </c>
      <c r="D181" t="s">
        <v>216</v>
      </c>
      <c r="E181" s="3">
        <v>7986.78</v>
      </c>
    </row>
    <row r="182" spans="1:5" x14ac:dyDescent="0.45">
      <c r="A182">
        <v>2026</v>
      </c>
      <c r="B182">
        <v>3</v>
      </c>
      <c r="C182" s="4">
        <v>68020</v>
      </c>
      <c r="D182" t="s">
        <v>217</v>
      </c>
      <c r="E182" s="3">
        <v>2328.08</v>
      </c>
    </row>
    <row r="183" spans="1:5" x14ac:dyDescent="0.45">
      <c r="A183">
        <v>2026</v>
      </c>
      <c r="B183">
        <v>3</v>
      </c>
      <c r="C183" s="4">
        <v>6802010</v>
      </c>
      <c r="D183" t="s">
        <v>218</v>
      </c>
      <c r="E183" s="3">
        <v>489.55</v>
      </c>
    </row>
    <row r="184" spans="1:5" x14ac:dyDescent="0.45">
      <c r="A184">
        <v>2026</v>
      </c>
      <c r="B184">
        <v>3</v>
      </c>
      <c r="C184" s="4">
        <v>680201010</v>
      </c>
      <c r="D184" t="s">
        <v>218</v>
      </c>
      <c r="E184" s="3">
        <v>489.55</v>
      </c>
    </row>
    <row r="185" spans="1:5" x14ac:dyDescent="0.45">
      <c r="A185">
        <v>2026</v>
      </c>
      <c r="B185">
        <v>3</v>
      </c>
      <c r="C185" s="4">
        <v>6802025</v>
      </c>
      <c r="D185" t="s">
        <v>219</v>
      </c>
      <c r="E185" s="3">
        <v>1534.91</v>
      </c>
    </row>
    <row r="186" spans="1:5" x14ac:dyDescent="0.45">
      <c r="A186">
        <v>2026</v>
      </c>
      <c r="B186">
        <v>3</v>
      </c>
      <c r="C186" s="4">
        <v>680202530</v>
      </c>
      <c r="D186" t="s">
        <v>220</v>
      </c>
      <c r="E186" s="3">
        <v>1534.91</v>
      </c>
    </row>
    <row r="187" spans="1:5" x14ac:dyDescent="0.45">
      <c r="A187">
        <v>2026</v>
      </c>
      <c r="B187">
        <v>3</v>
      </c>
      <c r="C187" s="4">
        <v>6802030</v>
      </c>
      <c r="D187" t="s">
        <v>221</v>
      </c>
      <c r="E187" s="3">
        <v>303.62</v>
      </c>
    </row>
    <row r="188" spans="1:5" x14ac:dyDescent="0.45">
      <c r="A188">
        <v>2026</v>
      </c>
      <c r="B188">
        <v>3</v>
      </c>
      <c r="C188" s="4">
        <v>680203024</v>
      </c>
      <c r="D188" t="s">
        <v>222</v>
      </c>
      <c r="E188" s="3">
        <v>220.55</v>
      </c>
    </row>
    <row r="189" spans="1:5" x14ac:dyDescent="0.45">
      <c r="A189">
        <v>2026</v>
      </c>
      <c r="B189">
        <v>3</v>
      </c>
      <c r="C189" s="4">
        <v>680203050</v>
      </c>
      <c r="D189" t="s">
        <v>223</v>
      </c>
      <c r="E189" s="3">
        <v>83.07</v>
      </c>
    </row>
    <row r="190" spans="1:5" x14ac:dyDescent="0.45">
      <c r="A190">
        <v>2026</v>
      </c>
      <c r="B190">
        <v>3</v>
      </c>
      <c r="C190" s="4">
        <v>68025</v>
      </c>
      <c r="D190" t="s">
        <v>224</v>
      </c>
      <c r="E190" s="3">
        <v>33157.06</v>
      </c>
    </row>
    <row r="191" spans="1:5" x14ac:dyDescent="0.45">
      <c r="A191">
        <v>2026</v>
      </c>
      <c r="B191">
        <v>3</v>
      </c>
      <c r="C191" s="4">
        <v>6802510</v>
      </c>
      <c r="D191" t="s">
        <v>225</v>
      </c>
      <c r="E191" s="3">
        <v>25720.1</v>
      </c>
    </row>
    <row r="192" spans="1:5" x14ac:dyDescent="0.45">
      <c r="A192">
        <v>2026</v>
      </c>
      <c r="B192">
        <v>3</v>
      </c>
      <c r="C192" s="4">
        <v>6802520</v>
      </c>
      <c r="D192" t="s">
        <v>226</v>
      </c>
      <c r="E192" s="3">
        <v>4635.71</v>
      </c>
    </row>
    <row r="193" spans="1:5" x14ac:dyDescent="0.45">
      <c r="A193">
        <v>2026</v>
      </c>
      <c r="B193">
        <v>3</v>
      </c>
      <c r="C193" s="4">
        <v>6802552</v>
      </c>
      <c r="D193" t="s">
        <v>227</v>
      </c>
      <c r="E193" s="3">
        <v>2801.25</v>
      </c>
    </row>
    <row r="194" spans="1:5" x14ac:dyDescent="0.45">
      <c r="A194">
        <v>2026</v>
      </c>
      <c r="B194">
        <v>3</v>
      </c>
      <c r="C194" s="4">
        <v>690</v>
      </c>
      <c r="D194" t="s">
        <v>228</v>
      </c>
      <c r="E194" s="3">
        <v>637619.46</v>
      </c>
    </row>
    <row r="195" spans="1:5" x14ac:dyDescent="0.45">
      <c r="A195">
        <v>2026</v>
      </c>
      <c r="B195">
        <v>3</v>
      </c>
      <c r="C195" s="4">
        <v>69012</v>
      </c>
      <c r="D195" t="s">
        <v>229</v>
      </c>
      <c r="E195" s="3">
        <v>415565.23</v>
      </c>
    </row>
    <row r="196" spans="1:5" x14ac:dyDescent="0.45">
      <c r="A196">
        <v>2026</v>
      </c>
      <c r="B196">
        <v>3</v>
      </c>
      <c r="C196" s="4">
        <v>6901201</v>
      </c>
      <c r="D196" t="s">
        <v>229</v>
      </c>
      <c r="E196" s="3">
        <v>4632</v>
      </c>
    </row>
    <row r="197" spans="1:5" x14ac:dyDescent="0.45">
      <c r="A197">
        <v>2026</v>
      </c>
      <c r="B197">
        <v>3</v>
      </c>
      <c r="C197" s="4">
        <v>6901230</v>
      </c>
      <c r="D197" t="s">
        <v>230</v>
      </c>
      <c r="E197" s="3">
        <v>27451.17</v>
      </c>
    </row>
    <row r="198" spans="1:5" x14ac:dyDescent="0.45">
      <c r="A198">
        <v>2026</v>
      </c>
      <c r="B198">
        <v>3</v>
      </c>
      <c r="C198" s="4">
        <v>6901251</v>
      </c>
      <c r="D198" t="s">
        <v>231</v>
      </c>
      <c r="E198" s="3">
        <v>150339.29</v>
      </c>
    </row>
    <row r="199" spans="1:5" x14ac:dyDescent="0.45">
      <c r="A199">
        <v>2026</v>
      </c>
      <c r="B199">
        <v>3</v>
      </c>
      <c r="C199" s="4">
        <v>6901252</v>
      </c>
      <c r="D199" t="s">
        <v>232</v>
      </c>
      <c r="E199" s="3">
        <v>23218.080000000002</v>
      </c>
    </row>
    <row r="200" spans="1:5" x14ac:dyDescent="0.45">
      <c r="A200">
        <v>2026</v>
      </c>
      <c r="B200">
        <v>3</v>
      </c>
      <c r="C200" s="4">
        <v>6901253</v>
      </c>
      <c r="D200" t="s">
        <v>233</v>
      </c>
      <c r="E200" s="3">
        <v>45651.3</v>
      </c>
    </row>
    <row r="201" spans="1:5" x14ac:dyDescent="0.45">
      <c r="A201">
        <v>2026</v>
      </c>
      <c r="B201">
        <v>3</v>
      </c>
      <c r="C201" s="4">
        <v>6901254</v>
      </c>
      <c r="D201" t="s">
        <v>234</v>
      </c>
      <c r="E201" s="3">
        <v>270.08</v>
      </c>
    </row>
    <row r="202" spans="1:5" x14ac:dyDescent="0.45">
      <c r="A202">
        <v>2026</v>
      </c>
      <c r="B202">
        <v>3</v>
      </c>
      <c r="C202" s="4">
        <v>6901257</v>
      </c>
      <c r="D202" t="s">
        <v>235</v>
      </c>
      <c r="E202" s="3">
        <v>164003.31</v>
      </c>
    </row>
    <row r="203" spans="1:5" x14ac:dyDescent="0.45">
      <c r="A203">
        <v>2026</v>
      </c>
      <c r="B203">
        <v>3</v>
      </c>
      <c r="C203" s="4">
        <v>69015</v>
      </c>
      <c r="D203" t="s">
        <v>236</v>
      </c>
      <c r="E203" s="3">
        <v>16686.12</v>
      </c>
    </row>
    <row r="204" spans="1:5" x14ac:dyDescent="0.45">
      <c r="A204">
        <v>2026</v>
      </c>
      <c r="B204">
        <v>3</v>
      </c>
      <c r="C204" s="4">
        <v>6901510</v>
      </c>
      <c r="D204" t="s">
        <v>237</v>
      </c>
      <c r="E204" s="3">
        <v>2207.8200000000002</v>
      </c>
    </row>
    <row r="205" spans="1:5" x14ac:dyDescent="0.45">
      <c r="A205">
        <v>2026</v>
      </c>
      <c r="B205">
        <v>3</v>
      </c>
      <c r="C205" s="4">
        <v>690151020</v>
      </c>
      <c r="D205" t="s">
        <v>238</v>
      </c>
      <c r="E205" s="3">
        <v>2207.8200000000002</v>
      </c>
    </row>
    <row r="206" spans="1:5" x14ac:dyDescent="0.45">
      <c r="A206">
        <v>2026</v>
      </c>
      <c r="B206">
        <v>3</v>
      </c>
      <c r="C206" s="4">
        <v>6901515</v>
      </c>
      <c r="D206" t="s">
        <v>239</v>
      </c>
      <c r="E206" s="3">
        <v>1000</v>
      </c>
    </row>
    <row r="207" spans="1:5" x14ac:dyDescent="0.45">
      <c r="A207">
        <v>2026</v>
      </c>
      <c r="B207">
        <v>3</v>
      </c>
      <c r="C207" s="4">
        <v>690151520</v>
      </c>
      <c r="D207" t="s">
        <v>240</v>
      </c>
      <c r="E207" s="3">
        <v>800</v>
      </c>
    </row>
    <row r="208" spans="1:5" x14ac:dyDescent="0.45">
      <c r="A208">
        <v>2026</v>
      </c>
      <c r="B208">
        <v>3</v>
      </c>
      <c r="C208" s="4">
        <v>690151527</v>
      </c>
      <c r="D208" t="s">
        <v>241</v>
      </c>
      <c r="E208" s="3">
        <v>200</v>
      </c>
    </row>
    <row r="209" spans="1:5" x14ac:dyDescent="0.45">
      <c r="A209">
        <v>2026</v>
      </c>
      <c r="B209">
        <v>3</v>
      </c>
      <c r="C209" s="4">
        <v>6901525</v>
      </c>
      <c r="D209" t="s">
        <v>242</v>
      </c>
      <c r="E209" s="3">
        <v>13478.3</v>
      </c>
    </row>
    <row r="210" spans="1:5" x14ac:dyDescent="0.45">
      <c r="A210">
        <v>2026</v>
      </c>
      <c r="B210">
        <v>3</v>
      </c>
      <c r="C210" s="4">
        <v>690152510</v>
      </c>
      <c r="D210" t="s">
        <v>243</v>
      </c>
      <c r="E210" s="3">
        <v>3564.2</v>
      </c>
    </row>
    <row r="211" spans="1:5" x14ac:dyDescent="0.45">
      <c r="A211">
        <v>2026</v>
      </c>
      <c r="B211">
        <v>3</v>
      </c>
      <c r="C211" s="4">
        <v>690152520</v>
      </c>
      <c r="D211" t="s">
        <v>244</v>
      </c>
      <c r="E211" s="3">
        <v>6690.8</v>
      </c>
    </row>
    <row r="212" spans="1:5" x14ac:dyDescent="0.45">
      <c r="A212">
        <v>2026</v>
      </c>
      <c r="B212">
        <v>3</v>
      </c>
      <c r="C212" s="4">
        <v>690152550</v>
      </c>
      <c r="D212" t="s">
        <v>245</v>
      </c>
      <c r="E212" s="3">
        <v>1069.2</v>
      </c>
    </row>
    <row r="213" spans="1:5" x14ac:dyDescent="0.45">
      <c r="A213">
        <v>2026</v>
      </c>
      <c r="B213">
        <v>3</v>
      </c>
      <c r="C213" s="4">
        <v>690152551</v>
      </c>
      <c r="D213" t="s">
        <v>246</v>
      </c>
      <c r="E213" s="3">
        <v>2154.1</v>
      </c>
    </row>
    <row r="214" spans="1:5" x14ac:dyDescent="0.45">
      <c r="A214">
        <v>2026</v>
      </c>
      <c r="B214">
        <v>3</v>
      </c>
      <c r="C214" s="4">
        <v>69018</v>
      </c>
      <c r="D214" t="s">
        <v>247</v>
      </c>
      <c r="E214" s="3">
        <v>83699.509999999995</v>
      </c>
    </row>
    <row r="215" spans="1:5" x14ac:dyDescent="0.45">
      <c r="A215">
        <v>2026</v>
      </c>
      <c r="B215">
        <v>3</v>
      </c>
      <c r="C215" s="4">
        <v>6901815</v>
      </c>
      <c r="D215" t="s">
        <v>248</v>
      </c>
      <c r="E215" s="3">
        <v>12869.64</v>
      </c>
    </row>
    <row r="216" spans="1:5" x14ac:dyDescent="0.45">
      <c r="A216">
        <v>2026</v>
      </c>
      <c r="B216">
        <v>3</v>
      </c>
      <c r="C216" s="4">
        <v>690181520</v>
      </c>
      <c r="D216" t="s">
        <v>249</v>
      </c>
      <c r="E216" s="3">
        <v>12869.64</v>
      </c>
    </row>
    <row r="217" spans="1:5" x14ac:dyDescent="0.45">
      <c r="A217">
        <v>2026</v>
      </c>
      <c r="B217">
        <v>3</v>
      </c>
      <c r="C217" s="4">
        <v>6901820</v>
      </c>
      <c r="D217" t="s">
        <v>250</v>
      </c>
      <c r="E217" s="3">
        <v>68259.97</v>
      </c>
    </row>
    <row r="218" spans="1:5" x14ac:dyDescent="0.45">
      <c r="A218">
        <v>2026</v>
      </c>
      <c r="B218">
        <v>3</v>
      </c>
      <c r="C218" s="4">
        <v>690182025</v>
      </c>
      <c r="D218" t="s">
        <v>251</v>
      </c>
      <c r="E218" s="3">
        <v>5711.48</v>
      </c>
    </row>
    <row r="219" spans="1:5" x14ac:dyDescent="0.45">
      <c r="A219">
        <v>2026</v>
      </c>
      <c r="B219">
        <v>3</v>
      </c>
      <c r="C219" s="4">
        <v>690182037</v>
      </c>
      <c r="D219" t="s">
        <v>252</v>
      </c>
      <c r="E219" s="3">
        <v>25428.49</v>
      </c>
    </row>
    <row r="220" spans="1:5" x14ac:dyDescent="0.45">
      <c r="A220">
        <v>2026</v>
      </c>
      <c r="B220">
        <v>3</v>
      </c>
      <c r="C220" s="4">
        <v>690182040</v>
      </c>
      <c r="D220" t="s">
        <v>253</v>
      </c>
      <c r="E220" s="3">
        <v>32000</v>
      </c>
    </row>
    <row r="221" spans="1:5" x14ac:dyDescent="0.45">
      <c r="A221">
        <v>2026</v>
      </c>
      <c r="B221">
        <v>3</v>
      </c>
      <c r="C221" s="4">
        <v>690182048</v>
      </c>
      <c r="D221" t="s">
        <v>254</v>
      </c>
      <c r="E221" s="3">
        <v>5120</v>
      </c>
    </row>
    <row r="222" spans="1:5" x14ac:dyDescent="0.45">
      <c r="A222">
        <v>2026</v>
      </c>
      <c r="B222">
        <v>3</v>
      </c>
      <c r="C222" s="4">
        <v>6901825</v>
      </c>
      <c r="D222" t="s">
        <v>255</v>
      </c>
      <c r="E222" s="3">
        <v>2569.9</v>
      </c>
    </row>
    <row r="223" spans="1:5" x14ac:dyDescent="0.45">
      <c r="A223">
        <v>2026</v>
      </c>
      <c r="B223">
        <v>3</v>
      </c>
      <c r="C223" s="4">
        <v>690182520</v>
      </c>
      <c r="D223" t="s">
        <v>256</v>
      </c>
      <c r="E223" s="3">
        <v>2229.71</v>
      </c>
    </row>
    <row r="224" spans="1:5" x14ac:dyDescent="0.45">
      <c r="A224">
        <v>2026</v>
      </c>
      <c r="B224">
        <v>3</v>
      </c>
      <c r="C224" s="4">
        <v>690182564</v>
      </c>
      <c r="D224" t="s">
        <v>257</v>
      </c>
      <c r="E224" s="3">
        <v>340.19</v>
      </c>
    </row>
    <row r="225" spans="1:5" x14ac:dyDescent="0.45">
      <c r="A225">
        <v>2026</v>
      </c>
      <c r="B225">
        <v>3</v>
      </c>
      <c r="C225" s="4">
        <v>69021</v>
      </c>
      <c r="D225" t="s">
        <v>258</v>
      </c>
      <c r="E225" s="3">
        <v>24914.68</v>
      </c>
    </row>
    <row r="226" spans="1:5" x14ac:dyDescent="0.45">
      <c r="A226">
        <v>2026</v>
      </c>
      <c r="B226">
        <v>3</v>
      </c>
      <c r="C226" s="4">
        <v>6902110</v>
      </c>
      <c r="D226" t="s">
        <v>259</v>
      </c>
      <c r="E226" s="3">
        <v>17139.22</v>
      </c>
    </row>
    <row r="227" spans="1:5" x14ac:dyDescent="0.45">
      <c r="A227">
        <v>2026</v>
      </c>
      <c r="B227">
        <v>3</v>
      </c>
      <c r="C227" s="4">
        <v>6902150</v>
      </c>
      <c r="D227" t="s">
        <v>260</v>
      </c>
      <c r="E227" s="3">
        <v>4182.5</v>
      </c>
    </row>
    <row r="228" spans="1:5" x14ac:dyDescent="0.45">
      <c r="A228">
        <v>2026</v>
      </c>
      <c r="B228">
        <v>3</v>
      </c>
      <c r="C228" s="4">
        <v>6902152</v>
      </c>
      <c r="D228" t="s">
        <v>261</v>
      </c>
      <c r="E228" s="3">
        <v>970.96</v>
      </c>
    </row>
    <row r="229" spans="1:5" x14ac:dyDescent="0.45">
      <c r="A229">
        <v>2026</v>
      </c>
      <c r="B229">
        <v>3</v>
      </c>
      <c r="C229" s="4">
        <v>6902153</v>
      </c>
      <c r="D229" t="s">
        <v>262</v>
      </c>
      <c r="E229" s="3">
        <v>2622</v>
      </c>
    </row>
    <row r="230" spans="1:5" x14ac:dyDescent="0.45">
      <c r="A230">
        <v>2026</v>
      </c>
      <c r="B230">
        <v>3</v>
      </c>
      <c r="C230" s="4">
        <v>69024</v>
      </c>
      <c r="D230" t="s">
        <v>263</v>
      </c>
      <c r="E230" s="3">
        <v>36500.75</v>
      </c>
    </row>
    <row r="231" spans="1:5" x14ac:dyDescent="0.45">
      <c r="A231">
        <v>2026</v>
      </c>
      <c r="B231">
        <v>3</v>
      </c>
      <c r="C231" s="4">
        <v>6902410</v>
      </c>
      <c r="D231" t="s">
        <v>264</v>
      </c>
      <c r="E231" s="3">
        <v>18273.32</v>
      </c>
    </row>
    <row r="232" spans="1:5" x14ac:dyDescent="0.45">
      <c r="A232">
        <v>2026</v>
      </c>
      <c r="B232">
        <v>3</v>
      </c>
      <c r="C232" s="4">
        <v>690241003</v>
      </c>
      <c r="D232" t="s">
        <v>265</v>
      </c>
      <c r="E232" s="3">
        <v>11937.63</v>
      </c>
    </row>
    <row r="233" spans="1:5" x14ac:dyDescent="0.45">
      <c r="A233">
        <v>2026</v>
      </c>
      <c r="B233">
        <v>3</v>
      </c>
      <c r="C233" s="4">
        <v>690241006</v>
      </c>
      <c r="D233" t="s">
        <v>266</v>
      </c>
      <c r="E233" s="3">
        <v>2619.4699999999998</v>
      </c>
    </row>
    <row r="234" spans="1:5" x14ac:dyDescent="0.45">
      <c r="A234">
        <v>2026</v>
      </c>
      <c r="B234">
        <v>3</v>
      </c>
      <c r="C234" s="4">
        <v>690241009</v>
      </c>
      <c r="D234" t="s">
        <v>267</v>
      </c>
      <c r="E234" s="3">
        <v>868.44</v>
      </c>
    </row>
    <row r="235" spans="1:5" x14ac:dyDescent="0.45">
      <c r="A235">
        <v>2026</v>
      </c>
      <c r="B235">
        <v>3</v>
      </c>
      <c r="C235" s="4">
        <v>690241015</v>
      </c>
      <c r="D235" t="s">
        <v>268</v>
      </c>
      <c r="E235" s="3">
        <v>402.3</v>
      </c>
    </row>
    <row r="236" spans="1:5" x14ac:dyDescent="0.45">
      <c r="A236">
        <v>2026</v>
      </c>
      <c r="B236">
        <v>3</v>
      </c>
      <c r="C236" s="4">
        <v>690241021</v>
      </c>
      <c r="D236" t="s">
        <v>269</v>
      </c>
      <c r="E236" s="3">
        <v>504.22</v>
      </c>
    </row>
    <row r="237" spans="1:5" x14ac:dyDescent="0.45">
      <c r="A237">
        <v>2026</v>
      </c>
      <c r="B237">
        <v>3</v>
      </c>
      <c r="C237" s="4">
        <v>690241024</v>
      </c>
      <c r="D237" t="s">
        <v>270</v>
      </c>
      <c r="E237" s="3">
        <v>1756.91</v>
      </c>
    </row>
    <row r="238" spans="1:5" x14ac:dyDescent="0.45">
      <c r="A238">
        <v>2026</v>
      </c>
      <c r="B238">
        <v>3</v>
      </c>
      <c r="C238" s="4">
        <v>690241065</v>
      </c>
      <c r="D238" t="s">
        <v>271</v>
      </c>
      <c r="E238" s="3">
        <v>184.35</v>
      </c>
    </row>
    <row r="239" spans="1:5" x14ac:dyDescent="0.45">
      <c r="A239">
        <v>2026</v>
      </c>
      <c r="B239">
        <v>3</v>
      </c>
      <c r="C239" s="4">
        <v>6902415</v>
      </c>
      <c r="D239" t="s">
        <v>272</v>
      </c>
      <c r="E239" s="3">
        <v>9163.89</v>
      </c>
    </row>
    <row r="240" spans="1:5" x14ac:dyDescent="0.45">
      <c r="A240">
        <v>2026</v>
      </c>
      <c r="B240">
        <v>3</v>
      </c>
      <c r="C240" s="4">
        <v>690241524</v>
      </c>
      <c r="D240" t="s">
        <v>273</v>
      </c>
      <c r="E240" s="3">
        <v>6463.89</v>
      </c>
    </row>
    <row r="241" spans="1:5" x14ac:dyDescent="0.45">
      <c r="A241">
        <v>2026</v>
      </c>
      <c r="B241">
        <v>3</v>
      </c>
      <c r="C241" s="4">
        <v>690241550</v>
      </c>
      <c r="D241" t="s">
        <v>274</v>
      </c>
      <c r="E241" s="3">
        <v>2700</v>
      </c>
    </row>
    <row r="242" spans="1:5" x14ac:dyDescent="0.45">
      <c r="A242">
        <v>2026</v>
      </c>
      <c r="B242">
        <v>3</v>
      </c>
      <c r="C242" s="4">
        <v>6902420</v>
      </c>
      <c r="D242" t="s">
        <v>275</v>
      </c>
      <c r="E242" s="3">
        <v>8959</v>
      </c>
    </row>
    <row r="243" spans="1:5" x14ac:dyDescent="0.45">
      <c r="A243">
        <v>2026</v>
      </c>
      <c r="B243">
        <v>3</v>
      </c>
      <c r="C243" s="4">
        <v>690242010</v>
      </c>
      <c r="D243" t="s">
        <v>276</v>
      </c>
      <c r="E243" s="3">
        <v>8959</v>
      </c>
    </row>
    <row r="244" spans="1:5" x14ac:dyDescent="0.45">
      <c r="A244">
        <v>2026</v>
      </c>
      <c r="B244">
        <v>3</v>
      </c>
      <c r="C244" s="4">
        <v>6902425</v>
      </c>
      <c r="D244" t="s">
        <v>277</v>
      </c>
      <c r="E244" s="3">
        <v>104.54</v>
      </c>
    </row>
    <row r="245" spans="1:5" x14ac:dyDescent="0.45">
      <c r="A245">
        <v>2026</v>
      </c>
      <c r="B245">
        <v>3</v>
      </c>
      <c r="C245" s="4">
        <v>690242541</v>
      </c>
      <c r="D245" t="s">
        <v>278</v>
      </c>
      <c r="E245" s="3">
        <v>104.54</v>
      </c>
    </row>
    <row r="246" spans="1:5" x14ac:dyDescent="0.45">
      <c r="A246">
        <v>2026</v>
      </c>
      <c r="B246">
        <v>3</v>
      </c>
      <c r="C246" s="4">
        <v>69027</v>
      </c>
      <c r="D246" t="s">
        <v>279</v>
      </c>
      <c r="E246" s="3">
        <v>6413.85</v>
      </c>
    </row>
    <row r="247" spans="1:5" x14ac:dyDescent="0.45">
      <c r="A247">
        <v>2026</v>
      </c>
      <c r="B247">
        <v>3</v>
      </c>
      <c r="C247" s="4">
        <v>6902710</v>
      </c>
      <c r="D247" t="s">
        <v>280</v>
      </c>
      <c r="E247" s="3">
        <v>70</v>
      </c>
    </row>
    <row r="248" spans="1:5" x14ac:dyDescent="0.45">
      <c r="A248">
        <v>2026</v>
      </c>
      <c r="B248">
        <v>3</v>
      </c>
      <c r="C248" s="4">
        <v>6902725</v>
      </c>
      <c r="D248" t="s">
        <v>281</v>
      </c>
      <c r="E248" s="3">
        <v>6193.85</v>
      </c>
    </row>
    <row r="249" spans="1:5" x14ac:dyDescent="0.45">
      <c r="A249">
        <v>2026</v>
      </c>
      <c r="B249">
        <v>3</v>
      </c>
      <c r="C249" s="4">
        <v>6902730</v>
      </c>
      <c r="D249" t="s">
        <v>282</v>
      </c>
      <c r="E249" s="3">
        <v>150</v>
      </c>
    </row>
    <row r="250" spans="1:5" x14ac:dyDescent="0.45">
      <c r="A250">
        <v>2026</v>
      </c>
      <c r="B250">
        <v>3</v>
      </c>
      <c r="C250" s="4">
        <v>69033</v>
      </c>
      <c r="D250" t="s">
        <v>283</v>
      </c>
      <c r="E250" s="3">
        <v>53839.32</v>
      </c>
    </row>
    <row r="251" spans="1:5" x14ac:dyDescent="0.45">
      <c r="A251">
        <v>2026</v>
      </c>
      <c r="B251">
        <v>3</v>
      </c>
      <c r="C251" s="4">
        <v>6903310</v>
      </c>
      <c r="D251" t="s">
        <v>284</v>
      </c>
      <c r="E251" s="3">
        <v>168.64</v>
      </c>
    </row>
    <row r="252" spans="1:5" x14ac:dyDescent="0.45">
      <c r="A252">
        <v>2026</v>
      </c>
      <c r="B252">
        <v>3</v>
      </c>
      <c r="C252" s="4">
        <v>6903312</v>
      </c>
      <c r="D252" t="s">
        <v>285</v>
      </c>
      <c r="E252" s="3">
        <v>13429.24</v>
      </c>
    </row>
    <row r="253" spans="1:5" x14ac:dyDescent="0.45">
      <c r="A253">
        <v>2026</v>
      </c>
      <c r="B253">
        <v>3</v>
      </c>
      <c r="C253" s="4">
        <v>6903315</v>
      </c>
      <c r="D253" t="s">
        <v>286</v>
      </c>
      <c r="E253" s="3">
        <v>1443.39</v>
      </c>
    </row>
    <row r="254" spans="1:5" x14ac:dyDescent="0.45">
      <c r="A254">
        <v>2026</v>
      </c>
      <c r="B254">
        <v>3</v>
      </c>
      <c r="C254" s="4">
        <v>6903316</v>
      </c>
      <c r="D254" t="s">
        <v>287</v>
      </c>
      <c r="E254" s="3">
        <v>13168.29</v>
      </c>
    </row>
    <row r="255" spans="1:5" x14ac:dyDescent="0.45">
      <c r="A255">
        <v>2026</v>
      </c>
      <c r="B255">
        <v>3</v>
      </c>
      <c r="C255" s="4">
        <v>6903320</v>
      </c>
      <c r="D255" t="s">
        <v>288</v>
      </c>
      <c r="E255" s="3">
        <v>2850.92</v>
      </c>
    </row>
    <row r="256" spans="1:5" x14ac:dyDescent="0.45">
      <c r="A256">
        <v>2026</v>
      </c>
      <c r="B256">
        <v>3</v>
      </c>
      <c r="C256" s="4">
        <v>6903351</v>
      </c>
      <c r="D256" t="s">
        <v>289</v>
      </c>
      <c r="E256" s="3">
        <v>8579.4</v>
      </c>
    </row>
    <row r="257" spans="1:5" x14ac:dyDescent="0.45">
      <c r="A257">
        <v>2026</v>
      </c>
      <c r="B257">
        <v>3</v>
      </c>
      <c r="C257" s="4">
        <v>6903352</v>
      </c>
      <c r="D257" t="s">
        <v>290</v>
      </c>
      <c r="E257" s="3">
        <v>12788.9</v>
      </c>
    </row>
    <row r="258" spans="1:5" x14ac:dyDescent="0.45">
      <c r="A258">
        <v>2026</v>
      </c>
      <c r="B258">
        <v>3</v>
      </c>
      <c r="C258" s="4">
        <v>6903353</v>
      </c>
      <c r="D258" t="s">
        <v>291</v>
      </c>
      <c r="E258" s="3">
        <v>536.82000000000005</v>
      </c>
    </row>
    <row r="259" spans="1:5" x14ac:dyDescent="0.45">
      <c r="A259">
        <v>2026</v>
      </c>
      <c r="B259">
        <v>3</v>
      </c>
      <c r="C259" s="4">
        <v>6903354</v>
      </c>
      <c r="D259" t="s">
        <v>292</v>
      </c>
      <c r="E259" s="3">
        <v>873.72</v>
      </c>
    </row>
    <row r="260" spans="1:5" x14ac:dyDescent="0.45">
      <c r="A260">
        <v>2026</v>
      </c>
      <c r="B260">
        <v>3</v>
      </c>
      <c r="C260" s="4">
        <v>700</v>
      </c>
      <c r="D260" t="s">
        <v>293</v>
      </c>
      <c r="E260" s="3">
        <v>183582.27</v>
      </c>
    </row>
    <row r="261" spans="1:5" x14ac:dyDescent="0.45">
      <c r="A261">
        <v>2026</v>
      </c>
      <c r="B261">
        <v>3</v>
      </c>
      <c r="C261" s="4">
        <v>70010</v>
      </c>
      <c r="D261" t="s">
        <v>294</v>
      </c>
      <c r="E261" s="3">
        <v>178652.71</v>
      </c>
    </row>
    <row r="262" spans="1:5" x14ac:dyDescent="0.45">
      <c r="A262">
        <v>2026</v>
      </c>
      <c r="B262">
        <v>3</v>
      </c>
      <c r="C262" s="4">
        <v>7001010</v>
      </c>
      <c r="D262" t="s">
        <v>295</v>
      </c>
      <c r="E262" s="3">
        <v>30000</v>
      </c>
    </row>
    <row r="263" spans="1:5" x14ac:dyDescent="0.45">
      <c r="A263">
        <v>2026</v>
      </c>
      <c r="B263">
        <v>3</v>
      </c>
      <c r="C263" s="4">
        <v>7001020</v>
      </c>
      <c r="D263" t="s">
        <v>296</v>
      </c>
      <c r="E263" s="3">
        <v>10318.82</v>
      </c>
    </row>
    <row r="264" spans="1:5" x14ac:dyDescent="0.45">
      <c r="A264">
        <v>2026</v>
      </c>
      <c r="B264">
        <v>3</v>
      </c>
      <c r="C264" s="4">
        <v>7001052</v>
      </c>
      <c r="D264" t="s">
        <v>297</v>
      </c>
      <c r="E264" s="3">
        <v>40133.89</v>
      </c>
    </row>
    <row r="265" spans="1:5" x14ac:dyDescent="0.45">
      <c r="A265">
        <v>2026</v>
      </c>
      <c r="B265">
        <v>3</v>
      </c>
      <c r="C265" s="4">
        <v>7001053</v>
      </c>
      <c r="D265" t="s">
        <v>298</v>
      </c>
      <c r="E265" s="3">
        <v>8100</v>
      </c>
    </row>
    <row r="266" spans="1:5" x14ac:dyDescent="0.45">
      <c r="A266">
        <v>2026</v>
      </c>
      <c r="B266">
        <v>3</v>
      </c>
      <c r="C266" s="4">
        <v>7001054</v>
      </c>
      <c r="D266" t="s">
        <v>299</v>
      </c>
      <c r="E266" s="3">
        <v>100</v>
      </c>
    </row>
    <row r="267" spans="1:5" x14ac:dyDescent="0.45">
      <c r="A267">
        <v>2026</v>
      </c>
      <c r="B267">
        <v>3</v>
      </c>
      <c r="C267" s="4">
        <v>7001055</v>
      </c>
      <c r="D267" t="s">
        <v>300</v>
      </c>
      <c r="E267" s="3">
        <v>90000</v>
      </c>
    </row>
    <row r="268" spans="1:5" x14ac:dyDescent="0.45">
      <c r="A268">
        <v>2026</v>
      </c>
      <c r="B268">
        <v>3</v>
      </c>
      <c r="C268" s="4">
        <v>70015</v>
      </c>
      <c r="D268" t="s">
        <v>301</v>
      </c>
      <c r="E268" s="3">
        <v>106.63</v>
      </c>
    </row>
    <row r="269" spans="1:5" x14ac:dyDescent="0.45">
      <c r="A269">
        <v>2026</v>
      </c>
      <c r="B269">
        <v>3</v>
      </c>
      <c r="C269" s="4">
        <v>7001520</v>
      </c>
      <c r="D269" t="s">
        <v>302</v>
      </c>
      <c r="E269" s="3">
        <v>106.63</v>
      </c>
    </row>
    <row r="270" spans="1:5" x14ac:dyDescent="0.45">
      <c r="A270">
        <v>2026</v>
      </c>
      <c r="B270">
        <v>3</v>
      </c>
      <c r="C270" s="4">
        <v>70040</v>
      </c>
      <c r="D270" t="s">
        <v>303</v>
      </c>
      <c r="E270" s="3">
        <v>4822.93</v>
      </c>
    </row>
    <row r="271" spans="1:5" x14ac:dyDescent="0.45">
      <c r="A271">
        <v>2026</v>
      </c>
      <c r="B271">
        <v>3</v>
      </c>
      <c r="C271" s="4">
        <v>7004030</v>
      </c>
      <c r="D271" t="s">
        <v>304</v>
      </c>
      <c r="E271" s="3">
        <v>4822.93</v>
      </c>
    </row>
    <row r="272" spans="1:5" x14ac:dyDescent="0.45">
      <c r="A272">
        <v>2026</v>
      </c>
      <c r="B272">
        <v>3</v>
      </c>
      <c r="C272" s="4">
        <v>710</v>
      </c>
      <c r="D272" t="s">
        <v>305</v>
      </c>
      <c r="E272" s="3">
        <v>293866.40000000002</v>
      </c>
    </row>
    <row r="273" spans="1:5" x14ac:dyDescent="0.45">
      <c r="A273">
        <v>2026</v>
      </c>
      <c r="B273">
        <v>3</v>
      </c>
      <c r="C273" s="4">
        <v>71010</v>
      </c>
      <c r="D273" t="s">
        <v>306</v>
      </c>
      <c r="E273" s="3">
        <v>218720.77</v>
      </c>
    </row>
    <row r="274" spans="1:5" x14ac:dyDescent="0.45">
      <c r="A274">
        <v>2026</v>
      </c>
      <c r="B274">
        <v>3</v>
      </c>
      <c r="C274" s="4">
        <v>7101010</v>
      </c>
      <c r="D274" t="s">
        <v>307</v>
      </c>
      <c r="E274" s="3">
        <v>218718.66</v>
      </c>
    </row>
    <row r="275" spans="1:5" x14ac:dyDescent="0.45">
      <c r="A275">
        <v>2026</v>
      </c>
      <c r="B275">
        <v>3</v>
      </c>
      <c r="C275" s="4">
        <v>7101045</v>
      </c>
      <c r="D275" t="s">
        <v>308</v>
      </c>
      <c r="E275" s="3">
        <v>2.11</v>
      </c>
    </row>
    <row r="276" spans="1:5" x14ac:dyDescent="0.45">
      <c r="A276">
        <v>2026</v>
      </c>
      <c r="B276">
        <v>3</v>
      </c>
      <c r="C276" s="4">
        <v>71015</v>
      </c>
      <c r="D276" t="s">
        <v>309</v>
      </c>
      <c r="E276" s="3">
        <v>59335.77</v>
      </c>
    </row>
    <row r="277" spans="1:5" x14ac:dyDescent="0.45">
      <c r="A277">
        <v>2026</v>
      </c>
      <c r="B277">
        <v>3</v>
      </c>
      <c r="C277" s="4">
        <v>7101510</v>
      </c>
      <c r="D277" t="s">
        <v>310</v>
      </c>
      <c r="E277" s="3">
        <v>57497.97</v>
      </c>
    </row>
    <row r="278" spans="1:5" x14ac:dyDescent="0.45">
      <c r="A278">
        <v>2026</v>
      </c>
      <c r="B278">
        <v>3</v>
      </c>
      <c r="C278" s="4">
        <v>7101517</v>
      </c>
      <c r="D278" t="s">
        <v>311</v>
      </c>
      <c r="E278" s="3">
        <v>1104.82</v>
      </c>
    </row>
    <row r="279" spans="1:5" x14ac:dyDescent="0.45">
      <c r="A279">
        <v>2026</v>
      </c>
      <c r="B279">
        <v>3</v>
      </c>
      <c r="C279" s="4">
        <v>710151715</v>
      </c>
      <c r="D279" t="s">
        <v>312</v>
      </c>
      <c r="E279" s="3">
        <v>870</v>
      </c>
    </row>
    <row r="280" spans="1:5" x14ac:dyDescent="0.45">
      <c r="A280">
        <v>2026</v>
      </c>
      <c r="B280">
        <v>3</v>
      </c>
      <c r="C280" s="4">
        <v>710151720</v>
      </c>
      <c r="D280" t="s">
        <v>313</v>
      </c>
      <c r="E280" s="3">
        <v>234.82</v>
      </c>
    </row>
    <row r="281" spans="1:5" x14ac:dyDescent="0.45">
      <c r="A281">
        <v>2026</v>
      </c>
      <c r="B281">
        <v>3</v>
      </c>
      <c r="C281" s="4">
        <v>7101520</v>
      </c>
      <c r="D281" t="s">
        <v>314</v>
      </c>
      <c r="E281" s="3">
        <v>732.98</v>
      </c>
    </row>
    <row r="282" spans="1:5" x14ac:dyDescent="0.45">
      <c r="A282">
        <v>2026</v>
      </c>
      <c r="B282">
        <v>3</v>
      </c>
      <c r="C282" s="4">
        <v>71020</v>
      </c>
      <c r="D282" t="s">
        <v>315</v>
      </c>
      <c r="E282" s="3">
        <v>15049.61</v>
      </c>
    </row>
    <row r="283" spans="1:5" x14ac:dyDescent="0.45">
      <c r="A283">
        <v>2026</v>
      </c>
      <c r="B283">
        <v>3</v>
      </c>
      <c r="C283" s="4">
        <v>7102010</v>
      </c>
      <c r="D283" t="s">
        <v>316</v>
      </c>
      <c r="E283" s="3">
        <v>15049.61</v>
      </c>
    </row>
    <row r="284" spans="1:5" x14ac:dyDescent="0.45">
      <c r="A284">
        <v>2026</v>
      </c>
      <c r="B284">
        <v>3</v>
      </c>
      <c r="C284" s="4">
        <v>71025</v>
      </c>
      <c r="D284" t="s">
        <v>317</v>
      </c>
      <c r="E284" s="3">
        <v>29.22</v>
      </c>
    </row>
    <row r="285" spans="1:5" x14ac:dyDescent="0.45">
      <c r="A285">
        <v>2026</v>
      </c>
      <c r="B285">
        <v>3</v>
      </c>
      <c r="C285" s="4">
        <v>7102520</v>
      </c>
      <c r="D285" t="s">
        <v>318</v>
      </c>
      <c r="E285" s="3">
        <v>29.22</v>
      </c>
    </row>
    <row r="286" spans="1:5" x14ac:dyDescent="0.45">
      <c r="A286">
        <v>2026</v>
      </c>
      <c r="B286">
        <v>3</v>
      </c>
      <c r="C286" s="4">
        <v>71030</v>
      </c>
      <c r="D286" t="s">
        <v>319</v>
      </c>
      <c r="E286" s="3">
        <v>731.03</v>
      </c>
    </row>
    <row r="287" spans="1:5" x14ac:dyDescent="0.45">
      <c r="A287">
        <v>2026</v>
      </c>
      <c r="B287">
        <v>3</v>
      </c>
      <c r="C287" s="4">
        <v>7103024</v>
      </c>
      <c r="D287" t="s">
        <v>320</v>
      </c>
      <c r="E287" s="3">
        <v>731.03</v>
      </c>
    </row>
    <row r="288" spans="1:5" x14ac:dyDescent="0.45">
      <c r="A288">
        <v>2026</v>
      </c>
      <c r="B288">
        <v>3</v>
      </c>
      <c r="C288" s="4">
        <v>720</v>
      </c>
      <c r="D288" t="s">
        <v>321</v>
      </c>
      <c r="E288" s="3">
        <v>14554.2</v>
      </c>
    </row>
    <row r="289" spans="1:5" x14ac:dyDescent="0.45">
      <c r="A289">
        <v>2026</v>
      </c>
      <c r="B289">
        <v>3</v>
      </c>
      <c r="C289" s="4">
        <v>72015</v>
      </c>
      <c r="D289" t="s">
        <v>322</v>
      </c>
      <c r="E289" s="3">
        <v>14554.2</v>
      </c>
    </row>
    <row r="290" spans="1:5" x14ac:dyDescent="0.45">
      <c r="A290">
        <v>2026</v>
      </c>
      <c r="B290">
        <v>3</v>
      </c>
      <c r="C290" s="4">
        <v>7201510</v>
      </c>
      <c r="D290" t="s">
        <v>323</v>
      </c>
      <c r="E290" s="3">
        <v>14554.2</v>
      </c>
    </row>
    <row r="291" spans="1:5" x14ac:dyDescent="0.45">
      <c r="A291">
        <v>2026</v>
      </c>
      <c r="B291">
        <v>3</v>
      </c>
      <c r="C291" s="4">
        <v>720151015</v>
      </c>
      <c r="D291" t="s">
        <v>324</v>
      </c>
      <c r="E291" s="3">
        <v>2467.35</v>
      </c>
    </row>
    <row r="292" spans="1:5" x14ac:dyDescent="0.45">
      <c r="A292">
        <v>2026</v>
      </c>
      <c r="B292">
        <v>3</v>
      </c>
      <c r="C292" s="4">
        <v>720151025</v>
      </c>
      <c r="D292" t="s">
        <v>325</v>
      </c>
      <c r="E292" s="3">
        <v>12018.85</v>
      </c>
    </row>
    <row r="293" spans="1:5" x14ac:dyDescent="0.45">
      <c r="A293">
        <v>2026</v>
      </c>
      <c r="B293">
        <v>3</v>
      </c>
      <c r="C293" s="4">
        <v>720151029</v>
      </c>
      <c r="D293" t="s">
        <v>326</v>
      </c>
      <c r="E293" s="3">
        <v>68</v>
      </c>
    </row>
    <row r="294" spans="1:5" x14ac:dyDescent="0.45">
      <c r="A294">
        <v>2026</v>
      </c>
      <c r="B294">
        <v>3</v>
      </c>
      <c r="C294" s="4">
        <v>730</v>
      </c>
      <c r="D294" t="s">
        <v>327</v>
      </c>
      <c r="E294" s="3">
        <v>-1214.03</v>
      </c>
    </row>
    <row r="295" spans="1:5" x14ac:dyDescent="0.45">
      <c r="A295">
        <v>2026</v>
      </c>
      <c r="B295">
        <v>3</v>
      </c>
      <c r="C295" s="4">
        <v>73025</v>
      </c>
      <c r="D295" t="s">
        <v>328</v>
      </c>
      <c r="E295" s="3">
        <v>-1214.03</v>
      </c>
    </row>
    <row r="296" spans="1:5" x14ac:dyDescent="0.45">
      <c r="A296">
        <v>2026</v>
      </c>
      <c r="B296">
        <v>3</v>
      </c>
      <c r="C296" s="4">
        <v>7302510</v>
      </c>
      <c r="D296" t="s">
        <v>329</v>
      </c>
      <c r="E296" s="3">
        <v>3593.79</v>
      </c>
    </row>
    <row r="297" spans="1:5" x14ac:dyDescent="0.45">
      <c r="A297">
        <v>2026</v>
      </c>
      <c r="B297">
        <v>3</v>
      </c>
      <c r="C297" s="4">
        <v>7302515</v>
      </c>
      <c r="D297" t="s">
        <v>330</v>
      </c>
      <c r="E297" s="3">
        <v>-4020.84</v>
      </c>
    </row>
    <row r="298" spans="1:5" x14ac:dyDescent="0.45">
      <c r="A298">
        <v>2026</v>
      </c>
      <c r="B298">
        <v>3</v>
      </c>
      <c r="C298" s="4">
        <v>7302552</v>
      </c>
      <c r="D298" t="s">
        <v>331</v>
      </c>
      <c r="E298" s="3">
        <v>38364.6</v>
      </c>
    </row>
    <row r="299" spans="1:5" x14ac:dyDescent="0.45">
      <c r="A299">
        <v>2026</v>
      </c>
      <c r="B299">
        <v>3</v>
      </c>
      <c r="C299" s="4">
        <v>7302554</v>
      </c>
      <c r="D299" t="s">
        <v>332</v>
      </c>
      <c r="E299" s="3">
        <v>-39151.58</v>
      </c>
    </row>
    <row r="300" spans="1:5" x14ac:dyDescent="0.45">
      <c r="A300">
        <v>2026</v>
      </c>
      <c r="B300">
        <v>3</v>
      </c>
      <c r="C300" s="4">
        <v>760</v>
      </c>
      <c r="D300" t="s">
        <v>333</v>
      </c>
      <c r="E300" s="3">
        <v>149502.88</v>
      </c>
    </row>
    <row r="301" spans="1:5" x14ac:dyDescent="0.45">
      <c r="A301">
        <v>2026</v>
      </c>
      <c r="B301">
        <v>3</v>
      </c>
      <c r="C301" s="4">
        <v>76010</v>
      </c>
      <c r="D301" t="s">
        <v>334</v>
      </c>
      <c r="E301" s="3">
        <v>113198.96</v>
      </c>
    </row>
    <row r="302" spans="1:5" x14ac:dyDescent="0.45">
      <c r="A302">
        <v>2026</v>
      </c>
      <c r="B302">
        <v>3</v>
      </c>
      <c r="C302" s="4">
        <v>7601010</v>
      </c>
      <c r="D302" t="s">
        <v>335</v>
      </c>
      <c r="E302" s="3">
        <v>350.5</v>
      </c>
    </row>
    <row r="303" spans="1:5" x14ac:dyDescent="0.45">
      <c r="A303">
        <v>2026</v>
      </c>
      <c r="B303">
        <v>3</v>
      </c>
      <c r="C303" s="4">
        <v>760101010</v>
      </c>
      <c r="D303" t="s">
        <v>336</v>
      </c>
      <c r="E303" s="3">
        <v>350.5</v>
      </c>
    </row>
    <row r="304" spans="1:5" x14ac:dyDescent="0.45">
      <c r="A304">
        <v>2026</v>
      </c>
      <c r="B304">
        <v>3</v>
      </c>
      <c r="C304" s="4">
        <v>7601015</v>
      </c>
      <c r="D304" t="s">
        <v>337</v>
      </c>
      <c r="E304" s="3">
        <v>438.96</v>
      </c>
    </row>
    <row r="305" spans="1:5" x14ac:dyDescent="0.45">
      <c r="A305">
        <v>2026</v>
      </c>
      <c r="B305">
        <v>3</v>
      </c>
      <c r="C305" s="4">
        <v>760101510</v>
      </c>
      <c r="D305" t="s">
        <v>338</v>
      </c>
      <c r="E305" s="3">
        <v>438.96</v>
      </c>
    </row>
    <row r="306" spans="1:5" x14ac:dyDescent="0.45">
      <c r="A306">
        <v>2026</v>
      </c>
      <c r="B306">
        <v>3</v>
      </c>
      <c r="C306" s="4">
        <v>7601025</v>
      </c>
      <c r="D306" t="s">
        <v>339</v>
      </c>
      <c r="E306" s="3">
        <v>4351.1400000000003</v>
      </c>
    </row>
    <row r="307" spans="1:5" x14ac:dyDescent="0.45">
      <c r="A307">
        <v>2026</v>
      </c>
      <c r="B307">
        <v>3</v>
      </c>
      <c r="C307" s="4">
        <v>760102515</v>
      </c>
      <c r="D307" t="s">
        <v>340</v>
      </c>
      <c r="E307" s="3">
        <v>2128.14</v>
      </c>
    </row>
    <row r="308" spans="1:5" x14ac:dyDescent="0.45">
      <c r="A308">
        <v>2026</v>
      </c>
      <c r="B308">
        <v>3</v>
      </c>
      <c r="C308" s="4">
        <v>760102520</v>
      </c>
      <c r="D308" t="s">
        <v>341</v>
      </c>
      <c r="E308" s="3">
        <v>573</v>
      </c>
    </row>
    <row r="309" spans="1:5" x14ac:dyDescent="0.45">
      <c r="A309">
        <v>2026</v>
      </c>
      <c r="B309">
        <v>3</v>
      </c>
      <c r="C309" s="4">
        <v>760102525</v>
      </c>
      <c r="D309" t="s">
        <v>342</v>
      </c>
      <c r="E309" s="3">
        <v>1650</v>
      </c>
    </row>
    <row r="310" spans="1:5" x14ac:dyDescent="0.45">
      <c r="A310">
        <v>2026</v>
      </c>
      <c r="B310">
        <v>3</v>
      </c>
      <c r="C310" s="4">
        <v>7601035</v>
      </c>
      <c r="D310" t="s">
        <v>343</v>
      </c>
      <c r="E310" s="3">
        <v>108058.36</v>
      </c>
    </row>
    <row r="311" spans="1:5" x14ac:dyDescent="0.45">
      <c r="A311">
        <v>2026</v>
      </c>
      <c r="B311">
        <v>3</v>
      </c>
      <c r="C311" s="4">
        <v>760103510</v>
      </c>
      <c r="D311" t="s">
        <v>343</v>
      </c>
      <c r="E311" s="3">
        <v>108</v>
      </c>
    </row>
    <row r="312" spans="1:5" x14ac:dyDescent="0.45">
      <c r="A312">
        <v>2026</v>
      </c>
      <c r="B312">
        <v>3</v>
      </c>
      <c r="C312" s="4">
        <v>760103525</v>
      </c>
      <c r="D312" t="s">
        <v>344</v>
      </c>
      <c r="E312" s="3">
        <v>66454.91</v>
      </c>
    </row>
    <row r="313" spans="1:5" x14ac:dyDescent="0.45">
      <c r="A313">
        <v>2026</v>
      </c>
      <c r="B313">
        <v>3</v>
      </c>
      <c r="C313" s="4">
        <v>760103550</v>
      </c>
      <c r="D313" t="s">
        <v>345</v>
      </c>
      <c r="E313" s="3">
        <v>80</v>
      </c>
    </row>
    <row r="314" spans="1:5" x14ac:dyDescent="0.45">
      <c r="A314">
        <v>2026</v>
      </c>
      <c r="B314">
        <v>3</v>
      </c>
      <c r="C314" s="4">
        <v>760103551</v>
      </c>
      <c r="D314" t="s">
        <v>346</v>
      </c>
      <c r="E314" s="3">
        <v>41415.449999999997</v>
      </c>
    </row>
    <row r="315" spans="1:5" x14ac:dyDescent="0.45">
      <c r="A315">
        <v>2026</v>
      </c>
      <c r="B315">
        <v>3</v>
      </c>
      <c r="C315" s="4">
        <v>76015</v>
      </c>
      <c r="D315" t="s">
        <v>347</v>
      </c>
      <c r="E315" s="3">
        <v>3204.17</v>
      </c>
    </row>
    <row r="316" spans="1:5" x14ac:dyDescent="0.45">
      <c r="A316">
        <v>2026</v>
      </c>
      <c r="B316">
        <v>3</v>
      </c>
      <c r="C316" s="4">
        <v>7601510</v>
      </c>
      <c r="D316" t="s">
        <v>348</v>
      </c>
      <c r="E316" s="3">
        <v>1958</v>
      </c>
    </row>
    <row r="317" spans="1:5" x14ac:dyDescent="0.45">
      <c r="A317">
        <v>2026</v>
      </c>
      <c r="B317">
        <v>3</v>
      </c>
      <c r="C317" s="4">
        <v>7601520</v>
      </c>
      <c r="D317" t="s">
        <v>349</v>
      </c>
      <c r="E317" s="3">
        <v>1246.17</v>
      </c>
    </row>
    <row r="318" spans="1:5" x14ac:dyDescent="0.45">
      <c r="A318">
        <v>2026</v>
      </c>
      <c r="B318">
        <v>3</v>
      </c>
      <c r="C318" s="4">
        <v>76020</v>
      </c>
      <c r="D318" t="s">
        <v>230</v>
      </c>
      <c r="E318" s="3">
        <v>33099.75</v>
      </c>
    </row>
    <row r="319" spans="1:5" x14ac:dyDescent="0.45">
      <c r="A319">
        <v>2026</v>
      </c>
      <c r="B319">
        <v>3</v>
      </c>
      <c r="C319" s="4">
        <v>76020015</v>
      </c>
      <c r="D319" t="s">
        <v>350</v>
      </c>
      <c r="E319" s="3">
        <v>18</v>
      </c>
    </row>
    <row r="320" spans="1:5" x14ac:dyDescent="0.45">
      <c r="A320">
        <v>2026</v>
      </c>
      <c r="B320">
        <v>3</v>
      </c>
      <c r="C320" s="4">
        <v>76020020</v>
      </c>
      <c r="D320" t="s">
        <v>351</v>
      </c>
      <c r="E320" s="3">
        <v>1534.51</v>
      </c>
    </row>
    <row r="321" spans="1:5" x14ac:dyDescent="0.45">
      <c r="A321">
        <v>2026</v>
      </c>
      <c r="B321">
        <v>3</v>
      </c>
      <c r="C321" s="4">
        <v>76020025</v>
      </c>
      <c r="D321" t="s">
        <v>352</v>
      </c>
      <c r="E321" s="3">
        <v>178.94</v>
      </c>
    </row>
    <row r="322" spans="1:5" x14ac:dyDescent="0.45">
      <c r="A322">
        <v>2026</v>
      </c>
      <c r="B322">
        <v>3</v>
      </c>
      <c r="C322" s="4">
        <v>76020104</v>
      </c>
      <c r="D322" t="s">
        <v>353</v>
      </c>
      <c r="E322" s="3">
        <v>30734.6</v>
      </c>
    </row>
    <row r="323" spans="1:5" x14ac:dyDescent="0.45">
      <c r="A323">
        <v>2026</v>
      </c>
      <c r="B323">
        <v>3</v>
      </c>
      <c r="C323" s="4">
        <v>76020107</v>
      </c>
      <c r="D323" t="s">
        <v>354</v>
      </c>
      <c r="E323" s="3">
        <v>4</v>
      </c>
    </row>
    <row r="324" spans="1:5" x14ac:dyDescent="0.45">
      <c r="A324">
        <v>2026</v>
      </c>
      <c r="B324">
        <v>3</v>
      </c>
      <c r="C324" s="4">
        <v>76020120</v>
      </c>
      <c r="D324" t="s">
        <v>355</v>
      </c>
      <c r="E324" s="3">
        <v>628.74</v>
      </c>
    </row>
    <row r="325" spans="1:5" x14ac:dyDescent="0.45">
      <c r="A325">
        <v>2026</v>
      </c>
      <c r="B325">
        <v>3</v>
      </c>
      <c r="C325" s="4">
        <v>76020500</v>
      </c>
      <c r="D325" t="s">
        <v>356</v>
      </c>
      <c r="E325" s="3">
        <v>0.59</v>
      </c>
    </row>
    <row r="326" spans="1:5" x14ac:dyDescent="0.45">
      <c r="A326">
        <v>2026</v>
      </c>
      <c r="B326">
        <v>3</v>
      </c>
      <c r="C326" s="4">
        <v>76020501</v>
      </c>
      <c r="D326" t="s">
        <v>357</v>
      </c>
      <c r="E326" s="3">
        <v>0.37</v>
      </c>
    </row>
    <row r="327" spans="1:5" x14ac:dyDescent="0.45">
      <c r="A327">
        <v>2026</v>
      </c>
      <c r="B327">
        <v>3</v>
      </c>
      <c r="C327" s="4">
        <v>840</v>
      </c>
      <c r="D327" t="s">
        <v>358</v>
      </c>
      <c r="E327" s="3">
        <v>1.41</v>
      </c>
    </row>
    <row r="328" spans="1:5" x14ac:dyDescent="0.45">
      <c r="A328">
        <v>2026</v>
      </c>
      <c r="B328">
        <v>3</v>
      </c>
      <c r="C328" s="4">
        <v>84015</v>
      </c>
      <c r="D328" t="s">
        <v>359</v>
      </c>
      <c r="E328" s="3">
        <v>1.41</v>
      </c>
    </row>
    <row r="329" spans="1:5" x14ac:dyDescent="0.45">
      <c r="A329">
        <v>2026</v>
      </c>
      <c r="B329">
        <v>3</v>
      </c>
      <c r="C329" s="4">
        <v>8401510</v>
      </c>
      <c r="D329" t="s">
        <v>360</v>
      </c>
      <c r="E329" s="3">
        <v>1.41</v>
      </c>
    </row>
    <row r="330" spans="1:5" x14ac:dyDescent="0.45">
      <c r="A330">
        <v>2026</v>
      </c>
      <c r="B330">
        <v>3</v>
      </c>
      <c r="C330" s="4">
        <v>850</v>
      </c>
      <c r="D330" t="s">
        <v>361</v>
      </c>
      <c r="E330" s="3">
        <v>9560.35</v>
      </c>
    </row>
    <row r="331" spans="1:5" x14ac:dyDescent="0.45">
      <c r="A331">
        <v>2026</v>
      </c>
      <c r="B331">
        <v>3</v>
      </c>
      <c r="C331" s="4">
        <v>85015</v>
      </c>
      <c r="D331" t="s">
        <v>362</v>
      </c>
      <c r="E331" s="3">
        <v>9560.35</v>
      </c>
    </row>
    <row r="332" spans="1:5" x14ac:dyDescent="0.45">
      <c r="A332">
        <v>2026</v>
      </c>
      <c r="B332">
        <v>3</v>
      </c>
      <c r="C332" s="4">
        <v>85015040</v>
      </c>
      <c r="D332" t="s">
        <v>363</v>
      </c>
      <c r="E332" s="3">
        <v>17.829999999999998</v>
      </c>
    </row>
    <row r="333" spans="1:5" x14ac:dyDescent="0.45">
      <c r="A333">
        <v>2026</v>
      </c>
      <c r="B333">
        <v>3</v>
      </c>
      <c r="C333" s="4">
        <v>85015050</v>
      </c>
      <c r="D333" t="s">
        <v>364</v>
      </c>
      <c r="E333" s="3">
        <v>276.26</v>
      </c>
    </row>
    <row r="334" spans="1:5" x14ac:dyDescent="0.45">
      <c r="A334">
        <v>2026</v>
      </c>
      <c r="B334">
        <v>3</v>
      </c>
      <c r="C334" s="4">
        <v>85015052</v>
      </c>
      <c r="D334" t="s">
        <v>365</v>
      </c>
      <c r="E334" s="3">
        <v>4.9000000000000004</v>
      </c>
    </row>
    <row r="335" spans="1:5" x14ac:dyDescent="0.45">
      <c r="A335">
        <v>2026</v>
      </c>
      <c r="B335">
        <v>3</v>
      </c>
      <c r="C335" s="4">
        <v>85015053</v>
      </c>
      <c r="D335" t="s">
        <v>366</v>
      </c>
      <c r="E335" s="3">
        <v>6301.1</v>
      </c>
    </row>
    <row r="336" spans="1:5" x14ac:dyDescent="0.45">
      <c r="A336">
        <v>2026</v>
      </c>
      <c r="B336">
        <v>3</v>
      </c>
      <c r="C336" s="4">
        <v>85015090</v>
      </c>
      <c r="D336" t="s">
        <v>367</v>
      </c>
      <c r="E336" s="3">
        <v>2960.26</v>
      </c>
    </row>
    <row r="337" spans="1:5" x14ac:dyDescent="0.45">
      <c r="A337">
        <v>2026</v>
      </c>
      <c r="B337">
        <v>3</v>
      </c>
      <c r="D337" t="s">
        <v>368</v>
      </c>
      <c r="E337" s="3">
        <v>0</v>
      </c>
    </row>
    <row r="338" spans="1:5" x14ac:dyDescent="0.45">
      <c r="A338">
        <v>2026</v>
      </c>
      <c r="B338">
        <v>3</v>
      </c>
      <c r="D338" t="s">
        <v>369</v>
      </c>
      <c r="E338" s="3">
        <v>268856.61</v>
      </c>
    </row>
    <row r="339" spans="1:5" x14ac:dyDescent="0.45">
      <c r="A339">
        <v>2026</v>
      </c>
      <c r="B339">
        <v>3</v>
      </c>
      <c r="D339" t="s">
        <v>370</v>
      </c>
      <c r="E339" s="3">
        <v>416108.64</v>
      </c>
    </row>
    <row r="340" spans="1:5" x14ac:dyDescent="0.45">
      <c r="A340">
        <v>2026</v>
      </c>
      <c r="B340">
        <v>3</v>
      </c>
      <c r="D340" t="s">
        <v>371</v>
      </c>
      <c r="E340" s="3">
        <v>147252.03</v>
      </c>
    </row>
    <row r="341" spans="1:5" x14ac:dyDescent="0.45">
      <c r="A341">
        <v>2026</v>
      </c>
      <c r="B341">
        <v>3</v>
      </c>
      <c r="D341" t="s">
        <v>372</v>
      </c>
      <c r="E341" s="3">
        <v>0</v>
      </c>
    </row>
    <row r="342" spans="1:5" x14ac:dyDescent="0.45">
      <c r="A342">
        <v>2026</v>
      </c>
      <c r="B342">
        <v>3</v>
      </c>
      <c r="D342" t="s">
        <v>373</v>
      </c>
      <c r="E342" s="3">
        <v>1194754.76</v>
      </c>
    </row>
    <row r="343" spans="1:5" x14ac:dyDescent="0.45">
      <c r="A343">
        <v>2026</v>
      </c>
      <c r="B343">
        <v>3</v>
      </c>
      <c r="D343" t="s">
        <v>374</v>
      </c>
      <c r="E343" s="3">
        <v>1342006.79</v>
      </c>
    </row>
    <row r="344" spans="1:5" x14ac:dyDescent="0.45">
      <c r="A344">
        <v>2026</v>
      </c>
      <c r="B344">
        <v>3</v>
      </c>
      <c r="D344" t="s">
        <v>375</v>
      </c>
      <c r="E344" s="3">
        <v>-147252.03</v>
      </c>
    </row>
    <row r="345" spans="1:5" x14ac:dyDescent="0.45">
      <c r="A345">
        <v>2026</v>
      </c>
      <c r="B345">
        <v>4</v>
      </c>
      <c r="C345" s="4">
        <v>60</v>
      </c>
      <c r="D345" t="s">
        <v>50</v>
      </c>
      <c r="E345" s="3">
        <v>66266.149999999994</v>
      </c>
    </row>
    <row r="346" spans="1:5" x14ac:dyDescent="0.45">
      <c r="A346">
        <v>2026</v>
      </c>
      <c r="B346">
        <v>4</v>
      </c>
      <c r="C346" s="4">
        <v>6015</v>
      </c>
      <c r="D346" t="s">
        <v>51</v>
      </c>
      <c r="E346" s="3">
        <v>12053.63</v>
      </c>
    </row>
    <row r="347" spans="1:5" x14ac:dyDescent="0.45">
      <c r="A347">
        <v>2026</v>
      </c>
      <c r="B347">
        <v>4</v>
      </c>
      <c r="C347" s="4">
        <v>601510</v>
      </c>
      <c r="D347" t="s">
        <v>51</v>
      </c>
      <c r="E347" s="3">
        <v>170102.51</v>
      </c>
    </row>
    <row r="348" spans="1:5" x14ac:dyDescent="0.45">
      <c r="A348">
        <v>2026</v>
      </c>
      <c r="B348">
        <v>4</v>
      </c>
      <c r="C348" s="4">
        <v>60151020</v>
      </c>
      <c r="D348" t="s">
        <v>52</v>
      </c>
      <c r="E348" s="3">
        <v>170102.51</v>
      </c>
    </row>
    <row r="349" spans="1:5" x14ac:dyDescent="0.45">
      <c r="A349">
        <v>2026</v>
      </c>
      <c r="B349">
        <v>4</v>
      </c>
      <c r="C349" s="4">
        <v>6015102010</v>
      </c>
      <c r="D349" t="s">
        <v>53</v>
      </c>
      <c r="E349" s="3">
        <v>88079.1</v>
      </c>
    </row>
    <row r="350" spans="1:5" x14ac:dyDescent="0.45">
      <c r="A350">
        <v>2026</v>
      </c>
      <c r="B350">
        <v>4</v>
      </c>
      <c r="C350" s="4">
        <v>6015102015</v>
      </c>
      <c r="D350" t="s">
        <v>54</v>
      </c>
      <c r="E350" s="3">
        <v>54585.24</v>
      </c>
    </row>
    <row r="351" spans="1:5" x14ac:dyDescent="0.45">
      <c r="A351">
        <v>2026</v>
      </c>
      <c r="B351">
        <v>4</v>
      </c>
      <c r="C351" s="4">
        <v>6015102050</v>
      </c>
      <c r="D351" t="s">
        <v>55</v>
      </c>
      <c r="E351" s="3">
        <v>26162.17</v>
      </c>
    </row>
    <row r="352" spans="1:5" x14ac:dyDescent="0.45">
      <c r="A352">
        <v>2026</v>
      </c>
      <c r="B352">
        <v>4</v>
      </c>
      <c r="C352" s="4">
        <v>6015102051</v>
      </c>
      <c r="D352" t="s">
        <v>56</v>
      </c>
      <c r="E352" s="3">
        <v>1276</v>
      </c>
    </row>
    <row r="353" spans="1:5" x14ac:dyDescent="0.45">
      <c r="A353">
        <v>2026</v>
      </c>
      <c r="B353">
        <v>4</v>
      </c>
      <c r="C353" s="4">
        <v>601515</v>
      </c>
      <c r="D353" t="s">
        <v>57</v>
      </c>
      <c r="E353" s="3">
        <v>-158048.88</v>
      </c>
    </row>
    <row r="354" spans="1:5" x14ac:dyDescent="0.45">
      <c r="A354">
        <v>2026</v>
      </c>
      <c r="B354">
        <v>4</v>
      </c>
      <c r="C354" s="4">
        <v>60151520</v>
      </c>
      <c r="D354" t="s">
        <v>58</v>
      </c>
      <c r="E354" s="3">
        <v>-158048.88</v>
      </c>
    </row>
    <row r="355" spans="1:5" x14ac:dyDescent="0.45">
      <c r="A355">
        <v>2026</v>
      </c>
      <c r="B355">
        <v>4</v>
      </c>
      <c r="C355" s="4">
        <v>6015152010</v>
      </c>
      <c r="D355" t="s">
        <v>59</v>
      </c>
      <c r="E355" s="3">
        <v>-88079.1</v>
      </c>
    </row>
    <row r="356" spans="1:5" x14ac:dyDescent="0.45">
      <c r="A356">
        <v>2026</v>
      </c>
      <c r="B356">
        <v>4</v>
      </c>
      <c r="C356" s="4">
        <v>6015152012</v>
      </c>
      <c r="D356" t="s">
        <v>60</v>
      </c>
      <c r="E356" s="3">
        <v>-43790.79</v>
      </c>
    </row>
    <row r="357" spans="1:5" x14ac:dyDescent="0.45">
      <c r="A357">
        <v>2026</v>
      </c>
      <c r="B357">
        <v>4</v>
      </c>
      <c r="C357" s="4">
        <v>6015152050</v>
      </c>
      <c r="D357" t="s">
        <v>61</v>
      </c>
      <c r="E357" s="3">
        <v>-24902.99</v>
      </c>
    </row>
    <row r="358" spans="1:5" x14ac:dyDescent="0.45">
      <c r="A358">
        <v>2026</v>
      </c>
      <c r="B358">
        <v>4</v>
      </c>
      <c r="C358" s="4">
        <v>6015152051</v>
      </c>
      <c r="D358" t="s">
        <v>62</v>
      </c>
      <c r="E358" s="3">
        <v>-1276</v>
      </c>
    </row>
    <row r="359" spans="1:5" x14ac:dyDescent="0.45">
      <c r="A359">
        <v>2026</v>
      </c>
      <c r="B359">
        <v>4</v>
      </c>
      <c r="C359" s="4">
        <v>6020</v>
      </c>
      <c r="D359" t="s">
        <v>63</v>
      </c>
      <c r="E359" s="3">
        <v>8620.0499999999993</v>
      </c>
    </row>
    <row r="360" spans="1:5" x14ac:dyDescent="0.45">
      <c r="A360">
        <v>2026</v>
      </c>
      <c r="B360">
        <v>4</v>
      </c>
      <c r="C360" s="4">
        <v>602010</v>
      </c>
      <c r="D360" t="s">
        <v>63</v>
      </c>
      <c r="E360" s="3">
        <v>25259.27</v>
      </c>
    </row>
    <row r="361" spans="1:5" x14ac:dyDescent="0.45">
      <c r="A361">
        <v>2026</v>
      </c>
      <c r="B361">
        <v>4</v>
      </c>
      <c r="C361" s="4">
        <v>60201010</v>
      </c>
      <c r="D361" t="s">
        <v>64</v>
      </c>
      <c r="E361" s="3">
        <v>25259.27</v>
      </c>
    </row>
    <row r="362" spans="1:5" x14ac:dyDescent="0.45">
      <c r="A362">
        <v>2026</v>
      </c>
      <c r="B362">
        <v>4</v>
      </c>
      <c r="C362" s="4">
        <v>6020101050</v>
      </c>
      <c r="D362" t="s">
        <v>65</v>
      </c>
      <c r="E362" s="3">
        <v>750.71</v>
      </c>
    </row>
    <row r="363" spans="1:5" x14ac:dyDescent="0.45">
      <c r="A363">
        <v>2026</v>
      </c>
      <c r="B363">
        <v>4</v>
      </c>
      <c r="C363" s="4">
        <v>6020101051</v>
      </c>
      <c r="D363" t="s">
        <v>66</v>
      </c>
      <c r="E363" s="3">
        <v>5384.4</v>
      </c>
    </row>
    <row r="364" spans="1:5" x14ac:dyDescent="0.45">
      <c r="A364">
        <v>2026</v>
      </c>
      <c r="B364">
        <v>4</v>
      </c>
      <c r="C364" s="4">
        <v>6020101052</v>
      </c>
      <c r="D364" t="s">
        <v>67</v>
      </c>
      <c r="E364" s="3">
        <v>374.93</v>
      </c>
    </row>
    <row r="365" spans="1:5" x14ac:dyDescent="0.45">
      <c r="A365">
        <v>2026</v>
      </c>
      <c r="B365">
        <v>4</v>
      </c>
      <c r="C365" s="4">
        <v>6020101053</v>
      </c>
      <c r="D365" t="s">
        <v>68</v>
      </c>
      <c r="E365" s="3">
        <v>18749.23</v>
      </c>
    </row>
    <row r="366" spans="1:5" x14ac:dyDescent="0.45">
      <c r="A366">
        <v>2026</v>
      </c>
      <c r="B366">
        <v>4</v>
      </c>
      <c r="C366" s="4">
        <v>602015</v>
      </c>
      <c r="D366" t="s">
        <v>69</v>
      </c>
      <c r="E366" s="3">
        <v>-16639.22</v>
      </c>
    </row>
    <row r="367" spans="1:5" x14ac:dyDescent="0.45">
      <c r="A367">
        <v>2026</v>
      </c>
      <c r="B367">
        <v>4</v>
      </c>
      <c r="C367" s="4">
        <v>60201510</v>
      </c>
      <c r="D367" t="s">
        <v>70</v>
      </c>
      <c r="E367" s="3">
        <v>-16639.22</v>
      </c>
    </row>
    <row r="368" spans="1:5" x14ac:dyDescent="0.45">
      <c r="A368">
        <v>2026</v>
      </c>
      <c r="B368">
        <v>4</v>
      </c>
      <c r="C368" s="4">
        <v>6020151050</v>
      </c>
      <c r="D368" t="s">
        <v>71</v>
      </c>
      <c r="E368" s="3">
        <v>-750.71</v>
      </c>
    </row>
    <row r="369" spans="1:5" x14ac:dyDescent="0.45">
      <c r="A369">
        <v>2026</v>
      </c>
      <c r="B369">
        <v>4</v>
      </c>
      <c r="C369" s="4">
        <v>6020151051</v>
      </c>
      <c r="D369" t="s">
        <v>72</v>
      </c>
      <c r="E369" s="3">
        <v>-5384.4</v>
      </c>
    </row>
    <row r="370" spans="1:5" x14ac:dyDescent="0.45">
      <c r="A370">
        <v>2026</v>
      </c>
      <c r="B370">
        <v>4</v>
      </c>
      <c r="C370" s="4">
        <v>6020151052</v>
      </c>
      <c r="D370" t="s">
        <v>73</v>
      </c>
      <c r="E370" s="3">
        <v>-374.93</v>
      </c>
    </row>
    <row r="371" spans="1:5" x14ac:dyDescent="0.45">
      <c r="A371">
        <v>2026</v>
      </c>
      <c r="B371">
        <v>4</v>
      </c>
      <c r="C371" s="4">
        <v>6020151053</v>
      </c>
      <c r="D371" t="s">
        <v>74</v>
      </c>
      <c r="E371" s="3">
        <v>-10129.18</v>
      </c>
    </row>
    <row r="372" spans="1:5" x14ac:dyDescent="0.45">
      <c r="A372">
        <v>2026</v>
      </c>
      <c r="B372">
        <v>4</v>
      </c>
      <c r="C372" s="4">
        <v>6025</v>
      </c>
      <c r="D372" t="s">
        <v>75</v>
      </c>
      <c r="E372" s="3">
        <v>45592.47</v>
      </c>
    </row>
    <row r="373" spans="1:5" x14ac:dyDescent="0.45">
      <c r="A373">
        <v>2026</v>
      </c>
      <c r="B373">
        <v>4</v>
      </c>
      <c r="C373" s="4">
        <v>602510</v>
      </c>
      <c r="D373" t="s">
        <v>75</v>
      </c>
      <c r="E373" s="3">
        <v>464489.53</v>
      </c>
    </row>
    <row r="374" spans="1:5" x14ac:dyDescent="0.45">
      <c r="A374">
        <v>2026</v>
      </c>
      <c r="B374">
        <v>4</v>
      </c>
      <c r="C374" s="4">
        <v>60251010</v>
      </c>
      <c r="D374" t="s">
        <v>76</v>
      </c>
      <c r="E374" s="3">
        <v>352014.48</v>
      </c>
    </row>
    <row r="375" spans="1:5" x14ac:dyDescent="0.45">
      <c r="A375">
        <v>2026</v>
      </c>
      <c r="B375">
        <v>4</v>
      </c>
      <c r="C375" s="4">
        <v>6025101010</v>
      </c>
      <c r="D375" t="s">
        <v>76</v>
      </c>
      <c r="E375" s="3">
        <v>99206.03</v>
      </c>
    </row>
    <row r="376" spans="1:5" x14ac:dyDescent="0.45">
      <c r="A376">
        <v>2026</v>
      </c>
      <c r="B376">
        <v>4</v>
      </c>
      <c r="C376" s="4">
        <v>6025101050</v>
      </c>
      <c r="D376" t="s">
        <v>77</v>
      </c>
      <c r="E376" s="3">
        <v>88188.1</v>
      </c>
    </row>
    <row r="377" spans="1:5" x14ac:dyDescent="0.45">
      <c r="A377">
        <v>2026</v>
      </c>
      <c r="B377">
        <v>4</v>
      </c>
      <c r="C377" s="4">
        <v>6025101051</v>
      </c>
      <c r="D377" t="s">
        <v>78</v>
      </c>
      <c r="E377" s="3">
        <v>164620.35</v>
      </c>
    </row>
    <row r="378" spans="1:5" x14ac:dyDescent="0.45">
      <c r="A378">
        <v>2026</v>
      </c>
      <c r="B378">
        <v>4</v>
      </c>
      <c r="C378" s="4">
        <v>60251015</v>
      </c>
      <c r="D378" t="s">
        <v>75</v>
      </c>
      <c r="E378" s="3">
        <v>112475.05</v>
      </c>
    </row>
    <row r="379" spans="1:5" x14ac:dyDescent="0.45">
      <c r="A379">
        <v>2026</v>
      </c>
      <c r="B379">
        <v>4</v>
      </c>
      <c r="C379" s="4">
        <v>6025101510</v>
      </c>
      <c r="D379" t="s">
        <v>79</v>
      </c>
      <c r="E379" s="3">
        <v>41411.339999999997</v>
      </c>
    </row>
    <row r="380" spans="1:5" x14ac:dyDescent="0.45">
      <c r="A380">
        <v>2026</v>
      </c>
      <c r="B380">
        <v>4</v>
      </c>
      <c r="C380" s="4">
        <v>6025101550</v>
      </c>
      <c r="D380" t="s">
        <v>80</v>
      </c>
      <c r="E380" s="3">
        <v>16241.27</v>
      </c>
    </row>
    <row r="381" spans="1:5" x14ac:dyDescent="0.45">
      <c r="A381">
        <v>2026</v>
      </c>
      <c r="B381">
        <v>4</v>
      </c>
      <c r="C381" s="4">
        <v>6025101553</v>
      </c>
      <c r="D381" t="s">
        <v>81</v>
      </c>
      <c r="E381" s="3">
        <v>48759.14</v>
      </c>
    </row>
    <row r="382" spans="1:5" x14ac:dyDescent="0.45">
      <c r="A382">
        <v>2026</v>
      </c>
      <c r="B382">
        <v>4</v>
      </c>
      <c r="C382" s="4">
        <v>6025101554</v>
      </c>
      <c r="D382" t="s">
        <v>82</v>
      </c>
      <c r="E382" s="3">
        <v>2198.3000000000002</v>
      </c>
    </row>
    <row r="383" spans="1:5" x14ac:dyDescent="0.45">
      <c r="A383">
        <v>2026</v>
      </c>
      <c r="B383">
        <v>4</v>
      </c>
      <c r="C383" s="4">
        <v>6025101555</v>
      </c>
      <c r="D383" t="s">
        <v>83</v>
      </c>
      <c r="E383" s="3">
        <v>3000</v>
      </c>
    </row>
    <row r="384" spans="1:5" x14ac:dyDescent="0.45">
      <c r="A384">
        <v>2026</v>
      </c>
      <c r="B384">
        <v>4</v>
      </c>
      <c r="C384" s="4">
        <v>6025101556</v>
      </c>
      <c r="D384" t="s">
        <v>84</v>
      </c>
      <c r="E384" s="3">
        <v>865</v>
      </c>
    </row>
    <row r="385" spans="1:5" x14ac:dyDescent="0.45">
      <c r="A385">
        <v>2026</v>
      </c>
      <c r="B385">
        <v>4</v>
      </c>
      <c r="C385" s="4">
        <v>602515</v>
      </c>
      <c r="D385" t="s">
        <v>85</v>
      </c>
      <c r="E385" s="3">
        <v>-418897.06</v>
      </c>
    </row>
    <row r="386" spans="1:5" x14ac:dyDescent="0.45">
      <c r="A386">
        <v>2026</v>
      </c>
      <c r="B386">
        <v>4</v>
      </c>
      <c r="C386" s="4">
        <v>60251510</v>
      </c>
      <c r="D386" t="s">
        <v>86</v>
      </c>
      <c r="E386" s="3">
        <v>-314208.65999999997</v>
      </c>
    </row>
    <row r="387" spans="1:5" x14ac:dyDescent="0.45">
      <c r="A387">
        <v>2026</v>
      </c>
      <c r="B387">
        <v>4</v>
      </c>
      <c r="C387" s="4">
        <v>6025151010</v>
      </c>
      <c r="D387" t="s">
        <v>86</v>
      </c>
      <c r="E387" s="3">
        <v>-68962.990000000005</v>
      </c>
    </row>
    <row r="388" spans="1:5" x14ac:dyDescent="0.45">
      <c r="A388">
        <v>2026</v>
      </c>
      <c r="B388">
        <v>4</v>
      </c>
      <c r="C388" s="4">
        <v>6025151050</v>
      </c>
      <c r="D388" t="s">
        <v>87</v>
      </c>
      <c r="E388" s="3">
        <v>-80625.320000000007</v>
      </c>
    </row>
    <row r="389" spans="1:5" x14ac:dyDescent="0.45">
      <c r="A389">
        <v>2026</v>
      </c>
      <c r="B389">
        <v>4</v>
      </c>
      <c r="C389" s="4">
        <v>6025151051</v>
      </c>
      <c r="D389" t="s">
        <v>88</v>
      </c>
      <c r="E389" s="3">
        <v>-164620.35</v>
      </c>
    </row>
    <row r="390" spans="1:5" x14ac:dyDescent="0.45">
      <c r="A390">
        <v>2026</v>
      </c>
      <c r="B390">
        <v>4</v>
      </c>
      <c r="C390" s="4">
        <v>60251515</v>
      </c>
      <c r="D390" t="s">
        <v>89</v>
      </c>
      <c r="E390" s="3">
        <v>-102490.1</v>
      </c>
    </row>
    <row r="391" spans="1:5" x14ac:dyDescent="0.45">
      <c r="A391">
        <v>2026</v>
      </c>
      <c r="B391">
        <v>4</v>
      </c>
      <c r="C391" s="4">
        <v>6025151510</v>
      </c>
      <c r="D391" t="s">
        <v>89</v>
      </c>
      <c r="E391" s="3">
        <v>-36844.69</v>
      </c>
    </row>
    <row r="392" spans="1:5" x14ac:dyDescent="0.45">
      <c r="A392">
        <v>2026</v>
      </c>
      <c r="B392">
        <v>4</v>
      </c>
      <c r="C392" s="4">
        <v>6025151550</v>
      </c>
      <c r="D392" t="s">
        <v>90</v>
      </c>
      <c r="E392" s="3">
        <v>-13181.27</v>
      </c>
    </row>
    <row r="393" spans="1:5" x14ac:dyDescent="0.45">
      <c r="A393">
        <v>2026</v>
      </c>
      <c r="B393">
        <v>4</v>
      </c>
      <c r="C393" s="4">
        <v>6025151551</v>
      </c>
      <c r="D393" t="s">
        <v>91</v>
      </c>
      <c r="E393" s="3">
        <v>-48759.14</v>
      </c>
    </row>
    <row r="394" spans="1:5" x14ac:dyDescent="0.45">
      <c r="A394">
        <v>2026</v>
      </c>
      <c r="B394">
        <v>4</v>
      </c>
      <c r="C394" s="4">
        <v>6025151552</v>
      </c>
      <c r="D394" t="s">
        <v>92</v>
      </c>
      <c r="E394" s="3">
        <v>-3000</v>
      </c>
    </row>
    <row r="395" spans="1:5" x14ac:dyDescent="0.45">
      <c r="A395">
        <v>2026</v>
      </c>
      <c r="B395">
        <v>4</v>
      </c>
      <c r="C395" s="4">
        <v>6025151556</v>
      </c>
      <c r="D395" t="s">
        <v>93</v>
      </c>
      <c r="E395" s="3">
        <v>-705</v>
      </c>
    </row>
    <row r="396" spans="1:5" x14ac:dyDescent="0.45">
      <c r="A396">
        <v>2026</v>
      </c>
      <c r="B396">
        <v>4</v>
      </c>
      <c r="C396" s="4">
        <v>60251530</v>
      </c>
      <c r="D396" t="s">
        <v>85</v>
      </c>
      <c r="E396" s="3">
        <v>-2198.3000000000002</v>
      </c>
    </row>
    <row r="397" spans="1:5" x14ac:dyDescent="0.45">
      <c r="A397">
        <v>2026</v>
      </c>
      <c r="B397">
        <v>4</v>
      </c>
      <c r="C397" s="4">
        <v>6025153050</v>
      </c>
      <c r="D397" t="s">
        <v>94</v>
      </c>
      <c r="E397" s="3">
        <v>-2198.3000000000002</v>
      </c>
    </row>
    <row r="398" spans="1:5" x14ac:dyDescent="0.45">
      <c r="A398">
        <v>2026</v>
      </c>
      <c r="B398">
        <v>4</v>
      </c>
      <c r="C398" s="4">
        <v>90</v>
      </c>
      <c r="D398" t="s">
        <v>95</v>
      </c>
      <c r="E398" s="3">
        <v>53101.22</v>
      </c>
    </row>
    <row r="399" spans="1:5" x14ac:dyDescent="0.45">
      <c r="A399">
        <v>2026</v>
      </c>
      <c r="B399">
        <v>4</v>
      </c>
      <c r="C399" s="4">
        <v>9025</v>
      </c>
      <c r="D399" t="s">
        <v>96</v>
      </c>
      <c r="E399" s="3">
        <v>43172.42</v>
      </c>
    </row>
    <row r="400" spans="1:5" x14ac:dyDescent="0.45">
      <c r="A400">
        <v>2026</v>
      </c>
      <c r="B400">
        <v>4</v>
      </c>
      <c r="C400" s="4">
        <v>902510</v>
      </c>
      <c r="D400" t="s">
        <v>96</v>
      </c>
      <c r="E400" s="3">
        <v>43172.42</v>
      </c>
    </row>
    <row r="401" spans="1:5" x14ac:dyDescent="0.45">
      <c r="A401">
        <v>2026</v>
      </c>
      <c r="B401">
        <v>4</v>
      </c>
      <c r="C401" s="4">
        <v>90251010</v>
      </c>
      <c r="D401" t="s">
        <v>97</v>
      </c>
      <c r="E401" s="3">
        <v>4020.84</v>
      </c>
    </row>
    <row r="402" spans="1:5" x14ac:dyDescent="0.45">
      <c r="A402">
        <v>2026</v>
      </c>
      <c r="B402">
        <v>4</v>
      </c>
      <c r="C402" s="4">
        <v>90251051</v>
      </c>
      <c r="D402" t="s">
        <v>98</v>
      </c>
      <c r="E402" s="3">
        <v>39151.58</v>
      </c>
    </row>
    <row r="403" spans="1:5" x14ac:dyDescent="0.45">
      <c r="A403">
        <v>2026</v>
      </c>
      <c r="B403">
        <v>4</v>
      </c>
      <c r="C403" s="4">
        <v>9030</v>
      </c>
      <c r="D403" t="s">
        <v>99</v>
      </c>
      <c r="E403" s="3">
        <v>9928.7999999999993</v>
      </c>
    </row>
    <row r="404" spans="1:5" x14ac:dyDescent="0.45">
      <c r="A404">
        <v>2026</v>
      </c>
      <c r="B404">
        <v>4</v>
      </c>
      <c r="C404" s="4">
        <v>903010</v>
      </c>
      <c r="D404" t="s">
        <v>99</v>
      </c>
      <c r="E404" s="3">
        <v>9928.7999999999993</v>
      </c>
    </row>
    <row r="405" spans="1:5" x14ac:dyDescent="0.45">
      <c r="A405">
        <v>2026</v>
      </c>
      <c r="B405">
        <v>4</v>
      </c>
      <c r="C405" s="4">
        <v>90301015</v>
      </c>
      <c r="D405" t="s">
        <v>100</v>
      </c>
      <c r="E405" s="3">
        <v>9928.7999999999993</v>
      </c>
    </row>
    <row r="406" spans="1:5" x14ac:dyDescent="0.45">
      <c r="A406">
        <v>2026</v>
      </c>
      <c r="B406">
        <v>4</v>
      </c>
      <c r="C406" s="4">
        <v>100</v>
      </c>
      <c r="D406" t="s">
        <v>101</v>
      </c>
      <c r="E406" s="3">
        <v>364594.08</v>
      </c>
    </row>
    <row r="407" spans="1:5" x14ac:dyDescent="0.45">
      <c r="A407">
        <v>2026</v>
      </c>
      <c r="B407">
        <v>4</v>
      </c>
      <c r="C407" s="4">
        <v>10010</v>
      </c>
      <c r="D407" t="s">
        <v>102</v>
      </c>
      <c r="E407" s="3">
        <v>21450.65</v>
      </c>
    </row>
    <row r="408" spans="1:5" x14ac:dyDescent="0.45">
      <c r="A408">
        <v>2026</v>
      </c>
      <c r="B408">
        <v>4</v>
      </c>
      <c r="C408" s="4">
        <v>1001010</v>
      </c>
      <c r="D408" t="s">
        <v>103</v>
      </c>
      <c r="E408" s="3">
        <v>21450.65</v>
      </c>
    </row>
    <row r="409" spans="1:5" x14ac:dyDescent="0.45">
      <c r="A409">
        <v>2026</v>
      </c>
      <c r="B409">
        <v>4</v>
      </c>
      <c r="C409" s="4">
        <v>100101003</v>
      </c>
      <c r="D409" t="s">
        <v>104</v>
      </c>
      <c r="E409" s="3">
        <v>8540</v>
      </c>
    </row>
    <row r="410" spans="1:5" x14ac:dyDescent="0.45">
      <c r="A410">
        <v>2026</v>
      </c>
      <c r="B410">
        <v>4</v>
      </c>
      <c r="C410" s="4">
        <v>100101015</v>
      </c>
      <c r="D410" t="s">
        <v>105</v>
      </c>
      <c r="E410" s="3">
        <v>12910.65</v>
      </c>
    </row>
    <row r="411" spans="1:5" x14ac:dyDescent="0.45">
      <c r="A411">
        <v>2026</v>
      </c>
      <c r="B411">
        <v>4</v>
      </c>
      <c r="C411" s="4">
        <v>10030</v>
      </c>
      <c r="D411" t="s">
        <v>106</v>
      </c>
      <c r="E411" s="3">
        <v>343143.43</v>
      </c>
    </row>
    <row r="412" spans="1:5" x14ac:dyDescent="0.45">
      <c r="A412">
        <v>2026</v>
      </c>
      <c r="B412">
        <v>4</v>
      </c>
      <c r="C412" s="4">
        <v>1003010</v>
      </c>
      <c r="D412" t="s">
        <v>107</v>
      </c>
      <c r="E412" s="3">
        <v>343143.43</v>
      </c>
    </row>
    <row r="413" spans="1:5" x14ac:dyDescent="0.45">
      <c r="A413">
        <v>2026</v>
      </c>
      <c r="B413">
        <v>4</v>
      </c>
      <c r="C413" s="4">
        <v>100301003</v>
      </c>
      <c r="D413" t="s">
        <v>108</v>
      </c>
      <c r="E413" s="3">
        <v>1251.56</v>
      </c>
    </row>
    <row r="414" spans="1:5" x14ac:dyDescent="0.45">
      <c r="A414">
        <v>2026</v>
      </c>
      <c r="B414">
        <v>4</v>
      </c>
      <c r="C414" s="4">
        <v>10030100310</v>
      </c>
      <c r="D414" t="s">
        <v>109</v>
      </c>
      <c r="E414" s="3">
        <v>1251.56</v>
      </c>
    </row>
    <row r="415" spans="1:5" x14ac:dyDescent="0.45">
      <c r="A415">
        <v>2026</v>
      </c>
      <c r="B415">
        <v>4</v>
      </c>
      <c r="C415" s="4">
        <v>100301019</v>
      </c>
      <c r="D415" t="s">
        <v>110</v>
      </c>
      <c r="E415" s="3">
        <v>3118.13</v>
      </c>
    </row>
    <row r="416" spans="1:5" x14ac:dyDescent="0.45">
      <c r="A416">
        <v>2026</v>
      </c>
      <c r="B416">
        <v>4</v>
      </c>
      <c r="C416" s="4">
        <v>100301021</v>
      </c>
      <c r="D416" t="s">
        <v>111</v>
      </c>
      <c r="E416" s="3">
        <v>2180</v>
      </c>
    </row>
    <row r="417" spans="1:5" x14ac:dyDescent="0.45">
      <c r="A417">
        <v>2026</v>
      </c>
      <c r="B417">
        <v>4</v>
      </c>
      <c r="C417" s="4">
        <v>100301027</v>
      </c>
      <c r="D417" t="s">
        <v>112</v>
      </c>
      <c r="E417" s="3">
        <v>323932.5</v>
      </c>
    </row>
    <row r="418" spans="1:5" x14ac:dyDescent="0.45">
      <c r="A418">
        <v>2026</v>
      </c>
      <c r="B418">
        <v>4</v>
      </c>
      <c r="C418" s="4">
        <v>10030102721</v>
      </c>
      <c r="D418" t="s">
        <v>113</v>
      </c>
      <c r="E418" s="3">
        <v>8077.86</v>
      </c>
    </row>
    <row r="419" spans="1:5" x14ac:dyDescent="0.45">
      <c r="A419">
        <v>2026</v>
      </c>
      <c r="B419">
        <v>4</v>
      </c>
      <c r="C419" s="4">
        <v>10030102751</v>
      </c>
      <c r="D419" t="s">
        <v>114</v>
      </c>
      <c r="E419" s="3">
        <v>315564.48</v>
      </c>
    </row>
    <row r="420" spans="1:5" x14ac:dyDescent="0.45">
      <c r="A420">
        <v>2026</v>
      </c>
      <c r="B420">
        <v>4</v>
      </c>
      <c r="C420" s="4">
        <v>10030102752</v>
      </c>
      <c r="D420" t="s">
        <v>115</v>
      </c>
      <c r="E420" s="3">
        <v>290.16000000000003</v>
      </c>
    </row>
    <row r="421" spans="1:5" x14ac:dyDescent="0.45">
      <c r="A421">
        <v>2026</v>
      </c>
      <c r="B421">
        <v>4</v>
      </c>
      <c r="C421" s="4">
        <v>100301050</v>
      </c>
      <c r="D421" t="s">
        <v>116</v>
      </c>
      <c r="E421" s="3">
        <v>241.44</v>
      </c>
    </row>
    <row r="422" spans="1:5" x14ac:dyDescent="0.45">
      <c r="A422">
        <v>2026</v>
      </c>
      <c r="B422">
        <v>4</v>
      </c>
      <c r="C422" s="4">
        <v>100301051</v>
      </c>
      <c r="D422" t="s">
        <v>117</v>
      </c>
      <c r="E422" s="3">
        <v>619.79999999999995</v>
      </c>
    </row>
    <row r="423" spans="1:5" x14ac:dyDescent="0.45">
      <c r="A423">
        <v>2026</v>
      </c>
      <c r="B423">
        <v>4</v>
      </c>
      <c r="C423" s="4">
        <v>100301052</v>
      </c>
      <c r="D423" t="s">
        <v>118</v>
      </c>
      <c r="E423" s="3">
        <v>11800</v>
      </c>
    </row>
    <row r="424" spans="1:5" x14ac:dyDescent="0.45">
      <c r="A424">
        <v>2026</v>
      </c>
      <c r="B424">
        <v>4</v>
      </c>
      <c r="C424" s="4">
        <v>120</v>
      </c>
      <c r="D424" t="s">
        <v>119</v>
      </c>
      <c r="E424" s="3">
        <v>-230012.47</v>
      </c>
    </row>
    <row r="425" spans="1:5" x14ac:dyDescent="0.45">
      <c r="A425">
        <v>2026</v>
      </c>
      <c r="B425">
        <v>4</v>
      </c>
      <c r="C425" s="4">
        <v>12010</v>
      </c>
      <c r="D425" t="s">
        <v>120</v>
      </c>
      <c r="E425" s="3">
        <v>-231083.32</v>
      </c>
    </row>
    <row r="426" spans="1:5" x14ac:dyDescent="0.45">
      <c r="A426">
        <v>2026</v>
      </c>
      <c r="B426">
        <v>4</v>
      </c>
      <c r="C426" s="4">
        <v>1201015</v>
      </c>
      <c r="D426" t="s">
        <v>121</v>
      </c>
      <c r="E426" s="3">
        <v>-174631.07</v>
      </c>
    </row>
    <row r="427" spans="1:5" x14ac:dyDescent="0.45">
      <c r="A427">
        <v>2026</v>
      </c>
      <c r="B427">
        <v>4</v>
      </c>
      <c r="C427" s="4">
        <v>1201020</v>
      </c>
      <c r="D427" t="s">
        <v>122</v>
      </c>
      <c r="E427" s="3">
        <v>-56452.25</v>
      </c>
    </row>
    <row r="428" spans="1:5" x14ac:dyDescent="0.45">
      <c r="A428">
        <v>2026</v>
      </c>
      <c r="B428">
        <v>4</v>
      </c>
      <c r="C428" s="4">
        <v>12020</v>
      </c>
      <c r="D428" t="s">
        <v>123</v>
      </c>
      <c r="E428" s="3">
        <v>1070.8499999999999</v>
      </c>
    </row>
    <row r="429" spans="1:5" x14ac:dyDescent="0.45">
      <c r="A429">
        <v>2026</v>
      </c>
      <c r="B429">
        <v>4</v>
      </c>
      <c r="C429" s="4">
        <v>1202010</v>
      </c>
      <c r="D429" t="s">
        <v>124</v>
      </c>
      <c r="E429" s="3">
        <v>1027.3499999999999</v>
      </c>
    </row>
    <row r="430" spans="1:5" x14ac:dyDescent="0.45">
      <c r="A430">
        <v>2026</v>
      </c>
      <c r="B430">
        <v>4</v>
      </c>
      <c r="C430" s="4">
        <v>1202015</v>
      </c>
      <c r="D430" t="s">
        <v>125</v>
      </c>
      <c r="E430" s="3">
        <v>43.5</v>
      </c>
    </row>
    <row r="431" spans="1:5" x14ac:dyDescent="0.45">
      <c r="A431">
        <v>2026</v>
      </c>
      <c r="B431">
        <v>4</v>
      </c>
      <c r="C431" s="4">
        <v>140</v>
      </c>
      <c r="D431" t="s">
        <v>126</v>
      </c>
      <c r="E431" s="3">
        <v>14907.63</v>
      </c>
    </row>
    <row r="432" spans="1:5" x14ac:dyDescent="0.45">
      <c r="A432">
        <v>2026</v>
      </c>
      <c r="B432">
        <v>4</v>
      </c>
      <c r="C432" s="4">
        <v>14015</v>
      </c>
      <c r="D432" t="s">
        <v>127</v>
      </c>
      <c r="E432" s="3">
        <v>14907.63</v>
      </c>
    </row>
    <row r="433" spans="1:5" x14ac:dyDescent="0.45">
      <c r="A433">
        <v>2026</v>
      </c>
      <c r="B433">
        <v>4</v>
      </c>
      <c r="C433" s="4">
        <v>1401510</v>
      </c>
      <c r="D433" t="s">
        <v>127</v>
      </c>
      <c r="E433" s="3">
        <v>14907.63</v>
      </c>
    </row>
    <row r="434" spans="1:5" x14ac:dyDescent="0.45">
      <c r="A434">
        <v>2026</v>
      </c>
      <c r="B434">
        <v>4</v>
      </c>
      <c r="C434" s="4">
        <v>170</v>
      </c>
      <c r="D434" t="s">
        <v>128</v>
      </c>
      <c r="E434" s="3">
        <v>5500</v>
      </c>
    </row>
    <row r="435" spans="1:5" x14ac:dyDescent="0.45">
      <c r="A435">
        <v>2026</v>
      </c>
      <c r="B435">
        <v>4</v>
      </c>
      <c r="C435" s="4">
        <v>17050</v>
      </c>
      <c r="D435" t="s">
        <v>129</v>
      </c>
      <c r="E435" s="3">
        <v>5500</v>
      </c>
    </row>
    <row r="436" spans="1:5" x14ac:dyDescent="0.45">
      <c r="A436">
        <v>2026</v>
      </c>
      <c r="B436">
        <v>4</v>
      </c>
      <c r="C436" s="4">
        <v>240</v>
      </c>
      <c r="D436" t="s">
        <v>130</v>
      </c>
      <c r="E436" s="3">
        <v>-8922.24</v>
      </c>
    </row>
    <row r="437" spans="1:5" x14ac:dyDescent="0.45">
      <c r="A437">
        <v>2026</v>
      </c>
      <c r="B437">
        <v>4</v>
      </c>
      <c r="C437" s="4">
        <v>24015</v>
      </c>
      <c r="D437" t="s">
        <v>131</v>
      </c>
      <c r="E437" s="3">
        <v>-8922.24</v>
      </c>
    </row>
    <row r="438" spans="1:5" x14ac:dyDescent="0.45">
      <c r="A438">
        <v>2026</v>
      </c>
      <c r="B438">
        <v>4</v>
      </c>
      <c r="C438" s="4">
        <v>300</v>
      </c>
      <c r="D438" t="s">
        <v>132</v>
      </c>
      <c r="E438" s="3">
        <v>51275.62</v>
      </c>
    </row>
    <row r="439" spans="1:5" x14ac:dyDescent="0.45">
      <c r="A439">
        <v>2026</v>
      </c>
      <c r="B439">
        <v>4</v>
      </c>
      <c r="C439" s="4">
        <v>30010</v>
      </c>
      <c r="D439" t="s">
        <v>133</v>
      </c>
      <c r="E439" s="3">
        <v>51275.62</v>
      </c>
    </row>
    <row r="440" spans="1:5" x14ac:dyDescent="0.45">
      <c r="A440">
        <v>2026</v>
      </c>
      <c r="B440">
        <v>4</v>
      </c>
      <c r="C440" s="4">
        <v>360</v>
      </c>
      <c r="D440" t="s">
        <v>134</v>
      </c>
      <c r="E440" s="3">
        <v>6301.1</v>
      </c>
    </row>
    <row r="441" spans="1:5" x14ac:dyDescent="0.45">
      <c r="A441">
        <v>2026</v>
      </c>
      <c r="B441">
        <v>4</v>
      </c>
      <c r="C441" s="4">
        <v>36010</v>
      </c>
      <c r="D441" t="s">
        <v>135</v>
      </c>
      <c r="E441" s="3">
        <v>6301.1</v>
      </c>
    </row>
    <row r="442" spans="1:5" x14ac:dyDescent="0.45">
      <c r="A442">
        <v>2026</v>
      </c>
      <c r="B442">
        <v>4</v>
      </c>
      <c r="C442" s="4">
        <v>3601090</v>
      </c>
      <c r="D442" t="s">
        <v>136</v>
      </c>
      <c r="E442" s="3">
        <v>6301.1</v>
      </c>
    </row>
    <row r="443" spans="1:5" x14ac:dyDescent="0.45">
      <c r="A443">
        <v>2026</v>
      </c>
      <c r="B443">
        <v>4</v>
      </c>
      <c r="C443" s="4">
        <v>390</v>
      </c>
      <c r="D443" t="s">
        <v>137</v>
      </c>
      <c r="E443" s="3">
        <v>226477.54</v>
      </c>
    </row>
    <row r="444" spans="1:5" x14ac:dyDescent="0.45">
      <c r="A444">
        <v>2026</v>
      </c>
      <c r="B444">
        <v>4</v>
      </c>
      <c r="C444" s="4">
        <v>39010</v>
      </c>
      <c r="D444" t="s">
        <v>138</v>
      </c>
      <c r="E444" s="3">
        <v>226477.54</v>
      </c>
    </row>
    <row r="445" spans="1:5" x14ac:dyDescent="0.45">
      <c r="A445">
        <v>2026</v>
      </c>
      <c r="B445">
        <v>4</v>
      </c>
      <c r="C445" s="4">
        <v>3901010</v>
      </c>
      <c r="D445" t="s">
        <v>139</v>
      </c>
      <c r="E445" s="3">
        <v>151635.15</v>
      </c>
    </row>
    <row r="446" spans="1:5" x14ac:dyDescent="0.45">
      <c r="A446">
        <v>2026</v>
      </c>
      <c r="B446">
        <v>4</v>
      </c>
      <c r="C446" s="4">
        <v>3901015</v>
      </c>
      <c r="D446" t="s">
        <v>140</v>
      </c>
      <c r="E446" s="3">
        <v>74842.39</v>
      </c>
    </row>
    <row r="447" spans="1:5" x14ac:dyDescent="0.45">
      <c r="A447">
        <v>2026</v>
      </c>
      <c r="B447">
        <v>4</v>
      </c>
      <c r="C447" s="4">
        <v>440</v>
      </c>
      <c r="D447" t="s">
        <v>141</v>
      </c>
      <c r="E447" s="3">
        <v>5844.96</v>
      </c>
    </row>
    <row r="448" spans="1:5" x14ac:dyDescent="0.45">
      <c r="A448">
        <v>2026</v>
      </c>
      <c r="B448">
        <v>4</v>
      </c>
      <c r="C448" s="4">
        <v>44010</v>
      </c>
      <c r="D448" t="s">
        <v>141</v>
      </c>
      <c r="E448" s="3">
        <v>5844.96</v>
      </c>
    </row>
    <row r="449" spans="1:5" x14ac:dyDescent="0.45">
      <c r="A449">
        <v>2026</v>
      </c>
      <c r="B449">
        <v>4</v>
      </c>
      <c r="C449" s="4">
        <v>4401015</v>
      </c>
      <c r="D449" t="s">
        <v>142</v>
      </c>
      <c r="E449" s="3">
        <v>-822</v>
      </c>
    </row>
    <row r="450" spans="1:5" x14ac:dyDescent="0.45">
      <c r="A450">
        <v>2026</v>
      </c>
      <c r="B450">
        <v>4</v>
      </c>
      <c r="C450" s="4">
        <v>440101510</v>
      </c>
      <c r="D450" t="s">
        <v>143</v>
      </c>
      <c r="E450" s="3">
        <v>-822</v>
      </c>
    </row>
    <row r="451" spans="1:5" x14ac:dyDescent="0.45">
      <c r="A451">
        <v>2026</v>
      </c>
      <c r="B451">
        <v>4</v>
      </c>
      <c r="C451" s="4">
        <v>4401020</v>
      </c>
      <c r="D451" t="s">
        <v>144</v>
      </c>
      <c r="E451" s="3">
        <v>4604.38</v>
      </c>
    </row>
    <row r="452" spans="1:5" x14ac:dyDescent="0.45">
      <c r="A452">
        <v>2026</v>
      </c>
      <c r="B452">
        <v>4</v>
      </c>
      <c r="C452" s="4">
        <v>440102010</v>
      </c>
      <c r="D452" t="s">
        <v>145</v>
      </c>
      <c r="E452" s="3">
        <v>4200.78</v>
      </c>
    </row>
    <row r="453" spans="1:5" x14ac:dyDescent="0.45">
      <c r="A453">
        <v>2026</v>
      </c>
      <c r="B453">
        <v>4</v>
      </c>
      <c r="C453" s="4">
        <v>440102015</v>
      </c>
      <c r="D453" t="s">
        <v>146</v>
      </c>
      <c r="E453" s="3">
        <v>403.6</v>
      </c>
    </row>
    <row r="454" spans="1:5" x14ac:dyDescent="0.45">
      <c r="A454">
        <v>2026</v>
      </c>
      <c r="B454">
        <v>4</v>
      </c>
      <c r="C454" s="4">
        <v>4401025</v>
      </c>
      <c r="D454" t="s">
        <v>147</v>
      </c>
      <c r="E454" s="3">
        <v>2034.25</v>
      </c>
    </row>
    <row r="455" spans="1:5" x14ac:dyDescent="0.45">
      <c r="A455">
        <v>2026</v>
      </c>
      <c r="B455">
        <v>4</v>
      </c>
      <c r="C455" s="4">
        <v>440102510</v>
      </c>
      <c r="D455" t="s">
        <v>148</v>
      </c>
      <c r="E455" s="3">
        <v>2034.25</v>
      </c>
    </row>
    <row r="456" spans="1:5" x14ac:dyDescent="0.45">
      <c r="A456">
        <v>2026</v>
      </c>
      <c r="B456">
        <v>4</v>
      </c>
      <c r="C456" s="4">
        <v>4401030</v>
      </c>
      <c r="D456" t="s">
        <v>149</v>
      </c>
      <c r="E456" s="3">
        <v>28.33</v>
      </c>
    </row>
    <row r="457" spans="1:5" x14ac:dyDescent="0.45">
      <c r="A457">
        <v>2026</v>
      </c>
      <c r="B457">
        <v>4</v>
      </c>
      <c r="C457" s="4">
        <v>440103040</v>
      </c>
      <c r="D457" t="s">
        <v>150</v>
      </c>
      <c r="E457" s="3">
        <v>28.33</v>
      </c>
    </row>
    <row r="458" spans="1:5" x14ac:dyDescent="0.45">
      <c r="A458">
        <v>2026</v>
      </c>
      <c r="B458">
        <v>4</v>
      </c>
      <c r="C458" s="4">
        <v>450</v>
      </c>
      <c r="D458" t="s">
        <v>151</v>
      </c>
      <c r="E458" s="3">
        <v>12182.73</v>
      </c>
    </row>
    <row r="459" spans="1:5" x14ac:dyDescent="0.45">
      <c r="A459">
        <v>2026</v>
      </c>
      <c r="B459">
        <v>4</v>
      </c>
      <c r="C459" s="4">
        <v>45010</v>
      </c>
      <c r="D459" t="s">
        <v>152</v>
      </c>
      <c r="E459" s="3">
        <v>12182.73</v>
      </c>
    </row>
    <row r="460" spans="1:5" x14ac:dyDescent="0.45">
      <c r="A460">
        <v>2026</v>
      </c>
      <c r="B460">
        <v>4</v>
      </c>
      <c r="C460" s="4">
        <v>4501010</v>
      </c>
      <c r="D460" t="s">
        <v>153</v>
      </c>
      <c r="E460" s="3">
        <v>9627.81</v>
      </c>
    </row>
    <row r="461" spans="1:5" x14ac:dyDescent="0.45">
      <c r="A461">
        <v>2026</v>
      </c>
      <c r="B461">
        <v>4</v>
      </c>
      <c r="C461" s="4">
        <v>4501020</v>
      </c>
      <c r="D461" t="s">
        <v>154</v>
      </c>
      <c r="E461" s="3">
        <v>86.67</v>
      </c>
    </row>
    <row r="462" spans="1:5" x14ac:dyDescent="0.45">
      <c r="A462">
        <v>2026</v>
      </c>
      <c r="B462">
        <v>4</v>
      </c>
      <c r="C462" s="4">
        <v>4501028</v>
      </c>
      <c r="D462" t="s">
        <v>155</v>
      </c>
      <c r="E462" s="3">
        <v>28</v>
      </c>
    </row>
    <row r="463" spans="1:5" x14ac:dyDescent="0.45">
      <c r="A463">
        <v>2026</v>
      </c>
      <c r="B463">
        <v>4</v>
      </c>
      <c r="C463" s="4">
        <v>4501030</v>
      </c>
      <c r="D463" t="s">
        <v>156</v>
      </c>
      <c r="E463" s="3">
        <v>84.55</v>
      </c>
    </row>
    <row r="464" spans="1:5" x14ac:dyDescent="0.45">
      <c r="A464">
        <v>2026</v>
      </c>
      <c r="B464">
        <v>4</v>
      </c>
      <c r="C464" s="4">
        <v>4501054</v>
      </c>
      <c r="D464" t="s">
        <v>157</v>
      </c>
      <c r="E464" s="3">
        <v>2355.6999999999998</v>
      </c>
    </row>
    <row r="465" spans="1:5" x14ac:dyDescent="0.45">
      <c r="A465">
        <v>2026</v>
      </c>
      <c r="B465">
        <v>4</v>
      </c>
      <c r="C465" s="4">
        <v>460</v>
      </c>
      <c r="D465" t="s">
        <v>158</v>
      </c>
      <c r="E465" s="3">
        <v>19824.47</v>
      </c>
    </row>
    <row r="466" spans="1:5" x14ac:dyDescent="0.45">
      <c r="A466">
        <v>2026</v>
      </c>
      <c r="B466">
        <v>4</v>
      </c>
      <c r="C466" s="4">
        <v>46010</v>
      </c>
      <c r="D466" t="s">
        <v>159</v>
      </c>
      <c r="E466" s="3">
        <v>19761.47</v>
      </c>
    </row>
    <row r="467" spans="1:5" x14ac:dyDescent="0.45">
      <c r="A467">
        <v>2026</v>
      </c>
      <c r="B467">
        <v>4</v>
      </c>
      <c r="C467" s="4">
        <v>4601020</v>
      </c>
      <c r="D467" t="s">
        <v>160</v>
      </c>
      <c r="E467" s="3">
        <v>19569.27</v>
      </c>
    </row>
    <row r="468" spans="1:5" x14ac:dyDescent="0.45">
      <c r="A468">
        <v>2026</v>
      </c>
      <c r="B468">
        <v>4</v>
      </c>
      <c r="C468" s="4">
        <v>460102010</v>
      </c>
      <c r="D468" t="s">
        <v>161</v>
      </c>
      <c r="E468" s="3">
        <v>11390</v>
      </c>
    </row>
    <row r="469" spans="1:5" x14ac:dyDescent="0.45">
      <c r="A469">
        <v>2026</v>
      </c>
      <c r="B469">
        <v>4</v>
      </c>
      <c r="C469" s="4">
        <v>460102035</v>
      </c>
      <c r="D469" t="s">
        <v>162</v>
      </c>
      <c r="E469" s="3">
        <v>8179.27</v>
      </c>
    </row>
    <row r="470" spans="1:5" x14ac:dyDescent="0.45">
      <c r="A470">
        <v>2026</v>
      </c>
      <c r="B470">
        <v>4</v>
      </c>
      <c r="C470" s="4">
        <v>4601025</v>
      </c>
      <c r="D470" t="s">
        <v>163</v>
      </c>
      <c r="E470" s="3">
        <v>192.2</v>
      </c>
    </row>
    <row r="471" spans="1:5" x14ac:dyDescent="0.45">
      <c r="A471">
        <v>2026</v>
      </c>
      <c r="B471">
        <v>4</v>
      </c>
      <c r="C471" s="4">
        <v>460102520</v>
      </c>
      <c r="D471" t="s">
        <v>164</v>
      </c>
      <c r="E471" s="3">
        <v>192.2</v>
      </c>
    </row>
    <row r="472" spans="1:5" x14ac:dyDescent="0.45">
      <c r="A472">
        <v>2026</v>
      </c>
      <c r="B472">
        <v>4</v>
      </c>
      <c r="C472" s="4">
        <v>46015</v>
      </c>
      <c r="D472" t="s">
        <v>165</v>
      </c>
      <c r="E472" s="3">
        <v>63</v>
      </c>
    </row>
    <row r="473" spans="1:5" x14ac:dyDescent="0.45">
      <c r="A473">
        <v>2026</v>
      </c>
      <c r="B473">
        <v>4</v>
      </c>
      <c r="C473" s="4">
        <v>4601510</v>
      </c>
      <c r="D473" t="s">
        <v>166</v>
      </c>
      <c r="E473" s="3">
        <v>63</v>
      </c>
    </row>
    <row r="474" spans="1:5" x14ac:dyDescent="0.45">
      <c r="A474">
        <v>2026</v>
      </c>
      <c r="B474">
        <v>4</v>
      </c>
      <c r="C474" s="4">
        <v>460151040</v>
      </c>
      <c r="D474" t="s">
        <v>167</v>
      </c>
      <c r="E474" s="3">
        <v>63</v>
      </c>
    </row>
    <row r="475" spans="1:5" x14ac:dyDescent="0.45">
      <c r="A475">
        <v>2026</v>
      </c>
      <c r="B475">
        <v>4</v>
      </c>
      <c r="C475" s="4">
        <v>480</v>
      </c>
      <c r="D475" t="s">
        <v>168</v>
      </c>
      <c r="E475" s="3">
        <v>97624.46</v>
      </c>
    </row>
    <row r="476" spans="1:5" x14ac:dyDescent="0.45">
      <c r="A476">
        <v>2026</v>
      </c>
      <c r="B476">
        <v>4</v>
      </c>
      <c r="C476" s="4">
        <v>48010</v>
      </c>
      <c r="D476" t="s">
        <v>169</v>
      </c>
      <c r="E476" s="3">
        <v>94638.75</v>
      </c>
    </row>
    <row r="477" spans="1:5" x14ac:dyDescent="0.45">
      <c r="A477">
        <v>2026</v>
      </c>
      <c r="B477">
        <v>4</v>
      </c>
      <c r="C477" s="4">
        <v>4801010</v>
      </c>
      <c r="D477" t="s">
        <v>169</v>
      </c>
      <c r="E477" s="3">
        <v>7792.98</v>
      </c>
    </row>
    <row r="478" spans="1:5" x14ac:dyDescent="0.45">
      <c r="A478">
        <v>2026</v>
      </c>
      <c r="B478">
        <v>4</v>
      </c>
      <c r="C478" s="4">
        <v>4801051</v>
      </c>
      <c r="D478" t="s">
        <v>170</v>
      </c>
      <c r="E478" s="3">
        <v>6928.53</v>
      </c>
    </row>
    <row r="479" spans="1:5" x14ac:dyDescent="0.45">
      <c r="A479">
        <v>2026</v>
      </c>
      <c r="B479">
        <v>4</v>
      </c>
      <c r="C479" s="4">
        <v>4801052</v>
      </c>
      <c r="D479" t="s">
        <v>171</v>
      </c>
      <c r="E479" s="3">
        <v>78288.149999999994</v>
      </c>
    </row>
    <row r="480" spans="1:5" x14ac:dyDescent="0.45">
      <c r="A480">
        <v>2026</v>
      </c>
      <c r="B480">
        <v>4</v>
      </c>
      <c r="C480" s="4">
        <v>4801053</v>
      </c>
      <c r="D480" t="s">
        <v>172</v>
      </c>
      <c r="E480" s="3">
        <v>1629.09</v>
      </c>
    </row>
    <row r="481" spans="1:5" x14ac:dyDescent="0.45">
      <c r="A481">
        <v>2026</v>
      </c>
      <c r="B481">
        <v>4</v>
      </c>
      <c r="C481" s="4">
        <v>48015</v>
      </c>
      <c r="D481" t="s">
        <v>173</v>
      </c>
      <c r="E481" s="3">
        <v>2985.71</v>
      </c>
    </row>
    <row r="482" spans="1:5" x14ac:dyDescent="0.45">
      <c r="A482">
        <v>2026</v>
      </c>
      <c r="B482">
        <v>4</v>
      </c>
      <c r="C482" s="4">
        <v>600</v>
      </c>
      <c r="D482" t="s">
        <v>174</v>
      </c>
      <c r="E482" s="3">
        <v>256271.97</v>
      </c>
    </row>
    <row r="483" spans="1:5" x14ac:dyDescent="0.45">
      <c r="A483">
        <v>2026</v>
      </c>
      <c r="B483">
        <v>4</v>
      </c>
      <c r="C483" s="4">
        <v>60010</v>
      </c>
      <c r="D483" t="s">
        <v>175</v>
      </c>
      <c r="E483" s="3">
        <v>93858.559999999998</v>
      </c>
    </row>
    <row r="484" spans="1:5" x14ac:dyDescent="0.45">
      <c r="A484">
        <v>2026</v>
      </c>
      <c r="B484">
        <v>4</v>
      </c>
      <c r="C484" s="4">
        <v>6001010</v>
      </c>
      <c r="D484" t="s">
        <v>176</v>
      </c>
      <c r="E484" s="3">
        <v>93858.559999999998</v>
      </c>
    </row>
    <row r="485" spans="1:5" x14ac:dyDescent="0.45">
      <c r="A485">
        <v>2026</v>
      </c>
      <c r="B485">
        <v>4</v>
      </c>
      <c r="C485" s="4">
        <v>600101010</v>
      </c>
      <c r="D485" t="s">
        <v>177</v>
      </c>
      <c r="E485" s="3">
        <v>38751.519999999997</v>
      </c>
    </row>
    <row r="486" spans="1:5" x14ac:dyDescent="0.45">
      <c r="A486">
        <v>2026</v>
      </c>
      <c r="B486">
        <v>4</v>
      </c>
      <c r="C486" s="4">
        <v>600101015</v>
      </c>
      <c r="D486" t="s">
        <v>178</v>
      </c>
      <c r="E486" s="3">
        <v>45023.89</v>
      </c>
    </row>
    <row r="487" spans="1:5" x14ac:dyDescent="0.45">
      <c r="A487">
        <v>2026</v>
      </c>
      <c r="B487">
        <v>4</v>
      </c>
      <c r="C487" s="4">
        <v>60010101550</v>
      </c>
      <c r="D487" t="s">
        <v>179</v>
      </c>
      <c r="E487" s="3">
        <v>36400</v>
      </c>
    </row>
    <row r="488" spans="1:5" x14ac:dyDescent="0.45">
      <c r="A488">
        <v>2026</v>
      </c>
      <c r="B488">
        <v>4</v>
      </c>
      <c r="C488" s="4">
        <v>60010101551</v>
      </c>
      <c r="D488" t="s">
        <v>180</v>
      </c>
      <c r="E488" s="3">
        <v>8623.89</v>
      </c>
    </row>
    <row r="489" spans="1:5" x14ac:dyDescent="0.45">
      <c r="A489">
        <v>2026</v>
      </c>
      <c r="B489">
        <v>4</v>
      </c>
      <c r="C489" s="4">
        <v>600101051</v>
      </c>
      <c r="D489" t="s">
        <v>181</v>
      </c>
      <c r="E489" s="3">
        <v>10083.15</v>
      </c>
    </row>
    <row r="490" spans="1:5" x14ac:dyDescent="0.45">
      <c r="A490">
        <v>2026</v>
      </c>
      <c r="B490">
        <v>4</v>
      </c>
      <c r="C490" s="4">
        <v>60015</v>
      </c>
      <c r="D490" t="s">
        <v>182</v>
      </c>
      <c r="E490" s="3">
        <v>162413.41</v>
      </c>
    </row>
    <row r="491" spans="1:5" x14ac:dyDescent="0.45">
      <c r="A491">
        <v>2026</v>
      </c>
      <c r="B491">
        <v>4</v>
      </c>
      <c r="C491" s="4">
        <v>6001510</v>
      </c>
      <c r="D491" t="s">
        <v>183</v>
      </c>
      <c r="E491" s="3">
        <v>162413.41</v>
      </c>
    </row>
    <row r="492" spans="1:5" x14ac:dyDescent="0.45">
      <c r="A492">
        <v>2026</v>
      </c>
      <c r="B492">
        <v>4</v>
      </c>
      <c r="C492" s="4">
        <v>600151051</v>
      </c>
      <c r="D492" t="s">
        <v>184</v>
      </c>
      <c r="E492" s="3">
        <v>16248</v>
      </c>
    </row>
    <row r="493" spans="1:5" x14ac:dyDescent="0.45">
      <c r="A493">
        <v>2026</v>
      </c>
      <c r="B493">
        <v>4</v>
      </c>
      <c r="C493" s="4">
        <v>600151052</v>
      </c>
      <c r="D493" t="s">
        <v>185</v>
      </c>
      <c r="E493" s="3">
        <v>32913.81</v>
      </c>
    </row>
    <row r="494" spans="1:5" x14ac:dyDescent="0.45">
      <c r="A494">
        <v>2026</v>
      </c>
      <c r="B494">
        <v>4</v>
      </c>
      <c r="C494" s="4">
        <v>600151053</v>
      </c>
      <c r="D494" t="s">
        <v>186</v>
      </c>
      <c r="E494" s="3">
        <v>64998.36</v>
      </c>
    </row>
    <row r="495" spans="1:5" x14ac:dyDescent="0.45">
      <c r="A495">
        <v>2026</v>
      </c>
      <c r="B495">
        <v>4</v>
      </c>
      <c r="C495" s="4">
        <v>600151055</v>
      </c>
      <c r="D495" t="s">
        <v>187</v>
      </c>
      <c r="E495" s="3">
        <v>1327</v>
      </c>
    </row>
    <row r="496" spans="1:5" x14ac:dyDescent="0.45">
      <c r="A496">
        <v>2026</v>
      </c>
      <c r="B496">
        <v>4</v>
      </c>
      <c r="C496" s="4">
        <v>600151060</v>
      </c>
      <c r="D496" t="s">
        <v>188</v>
      </c>
      <c r="E496" s="3">
        <v>31597.58</v>
      </c>
    </row>
    <row r="497" spans="1:5" x14ac:dyDescent="0.45">
      <c r="A497">
        <v>2026</v>
      </c>
      <c r="B497">
        <v>4</v>
      </c>
      <c r="C497" s="4">
        <v>600151061</v>
      </c>
      <c r="D497" t="s">
        <v>189</v>
      </c>
      <c r="E497" s="3">
        <v>10229</v>
      </c>
    </row>
    <row r="498" spans="1:5" x14ac:dyDescent="0.45">
      <c r="A498">
        <v>2026</v>
      </c>
      <c r="B498">
        <v>4</v>
      </c>
      <c r="C498" s="4">
        <v>600151063</v>
      </c>
      <c r="D498" t="s">
        <v>190</v>
      </c>
      <c r="E498" s="3">
        <v>5099.66</v>
      </c>
    </row>
    <row r="499" spans="1:5" x14ac:dyDescent="0.45">
      <c r="A499">
        <v>2026</v>
      </c>
      <c r="B499">
        <v>4</v>
      </c>
      <c r="C499" s="4">
        <v>640</v>
      </c>
      <c r="D499" t="s">
        <v>191</v>
      </c>
      <c r="E499" s="3">
        <v>938481.38</v>
      </c>
    </row>
    <row r="500" spans="1:5" x14ac:dyDescent="0.45">
      <c r="A500">
        <v>2026</v>
      </c>
      <c r="B500">
        <v>4</v>
      </c>
      <c r="C500" s="4">
        <v>64003</v>
      </c>
      <c r="D500" t="s">
        <v>192</v>
      </c>
      <c r="E500" s="3">
        <v>9022.9500000000007</v>
      </c>
    </row>
    <row r="501" spans="1:5" x14ac:dyDescent="0.45">
      <c r="A501">
        <v>2026</v>
      </c>
      <c r="B501">
        <v>4</v>
      </c>
      <c r="C501" s="4">
        <v>6400335</v>
      </c>
      <c r="D501" t="s">
        <v>193</v>
      </c>
      <c r="E501" s="3">
        <v>9022.9500000000007</v>
      </c>
    </row>
    <row r="502" spans="1:5" x14ac:dyDescent="0.45">
      <c r="A502">
        <v>2026</v>
      </c>
      <c r="B502">
        <v>4</v>
      </c>
      <c r="C502" s="4">
        <v>64012</v>
      </c>
      <c r="D502" t="s">
        <v>194</v>
      </c>
      <c r="E502" s="3">
        <v>4809.79</v>
      </c>
    </row>
    <row r="503" spans="1:5" x14ac:dyDescent="0.45">
      <c r="A503">
        <v>2026</v>
      </c>
      <c r="B503">
        <v>4</v>
      </c>
      <c r="C503" s="4">
        <v>6401215</v>
      </c>
      <c r="D503" t="s">
        <v>195</v>
      </c>
      <c r="E503" s="3">
        <v>6.11</v>
      </c>
    </row>
    <row r="504" spans="1:5" x14ac:dyDescent="0.45">
      <c r="A504">
        <v>2026</v>
      </c>
      <c r="B504">
        <v>4</v>
      </c>
      <c r="C504" s="4">
        <v>6401232</v>
      </c>
      <c r="D504" t="s">
        <v>196</v>
      </c>
      <c r="E504" s="3">
        <v>1280</v>
      </c>
    </row>
    <row r="505" spans="1:5" x14ac:dyDescent="0.45">
      <c r="A505">
        <v>2026</v>
      </c>
      <c r="B505">
        <v>4</v>
      </c>
      <c r="C505" s="4">
        <v>640123204</v>
      </c>
      <c r="D505" t="s">
        <v>197</v>
      </c>
      <c r="E505" s="3">
        <v>1280</v>
      </c>
    </row>
    <row r="506" spans="1:5" x14ac:dyDescent="0.45">
      <c r="A506">
        <v>2026</v>
      </c>
      <c r="B506">
        <v>4</v>
      </c>
      <c r="C506" s="4">
        <v>6401233</v>
      </c>
      <c r="D506" t="s">
        <v>198</v>
      </c>
      <c r="E506" s="3">
        <v>299.95999999999998</v>
      </c>
    </row>
    <row r="507" spans="1:5" x14ac:dyDescent="0.45">
      <c r="A507">
        <v>2026</v>
      </c>
      <c r="B507">
        <v>4</v>
      </c>
      <c r="C507" s="4">
        <v>6401259</v>
      </c>
      <c r="D507" t="s">
        <v>199</v>
      </c>
      <c r="E507" s="3">
        <v>170.13</v>
      </c>
    </row>
    <row r="508" spans="1:5" x14ac:dyDescent="0.45">
      <c r="A508">
        <v>2026</v>
      </c>
      <c r="B508">
        <v>4</v>
      </c>
      <c r="C508" s="4">
        <v>6401260</v>
      </c>
      <c r="D508" t="s">
        <v>200</v>
      </c>
      <c r="E508" s="3">
        <v>3053.59</v>
      </c>
    </row>
    <row r="509" spans="1:5" x14ac:dyDescent="0.45">
      <c r="A509">
        <v>2026</v>
      </c>
      <c r="B509">
        <v>4</v>
      </c>
      <c r="C509" s="4">
        <v>64015</v>
      </c>
      <c r="D509" t="s">
        <v>201</v>
      </c>
      <c r="E509" s="3">
        <v>850768.74</v>
      </c>
    </row>
    <row r="510" spans="1:5" x14ac:dyDescent="0.45">
      <c r="A510">
        <v>2026</v>
      </c>
      <c r="B510">
        <v>4</v>
      </c>
      <c r="C510" s="4">
        <v>6401550</v>
      </c>
      <c r="D510" t="s">
        <v>202</v>
      </c>
      <c r="E510" s="3">
        <v>13500</v>
      </c>
    </row>
    <row r="511" spans="1:5" x14ac:dyDescent="0.45">
      <c r="A511">
        <v>2026</v>
      </c>
      <c r="B511">
        <v>4</v>
      </c>
      <c r="C511" s="4">
        <v>6401551</v>
      </c>
      <c r="D511" t="s">
        <v>203</v>
      </c>
      <c r="E511" s="3">
        <v>11900</v>
      </c>
    </row>
    <row r="512" spans="1:5" x14ac:dyDescent="0.45">
      <c r="A512">
        <v>2026</v>
      </c>
      <c r="B512">
        <v>4</v>
      </c>
      <c r="C512" s="4">
        <v>6401552</v>
      </c>
      <c r="D512" t="s">
        <v>204</v>
      </c>
      <c r="E512" s="3">
        <v>102600</v>
      </c>
    </row>
    <row r="513" spans="1:5" x14ac:dyDescent="0.45">
      <c r="A513">
        <v>2026</v>
      </c>
      <c r="B513">
        <v>4</v>
      </c>
      <c r="C513" s="4">
        <v>6401554</v>
      </c>
      <c r="D513" t="s">
        <v>205</v>
      </c>
      <c r="E513" s="3">
        <v>354988.74</v>
      </c>
    </row>
    <row r="514" spans="1:5" x14ac:dyDescent="0.45">
      <c r="A514">
        <v>2026</v>
      </c>
      <c r="B514">
        <v>4</v>
      </c>
      <c r="C514" s="4">
        <v>6401556</v>
      </c>
      <c r="D514" t="s">
        <v>206</v>
      </c>
      <c r="E514" s="3">
        <v>18000</v>
      </c>
    </row>
    <row r="515" spans="1:5" x14ac:dyDescent="0.45">
      <c r="A515">
        <v>2026</v>
      </c>
      <c r="B515">
        <v>4</v>
      </c>
      <c r="C515" s="4">
        <v>6401557</v>
      </c>
      <c r="D515" t="s">
        <v>207</v>
      </c>
      <c r="E515" s="3">
        <v>90000</v>
      </c>
    </row>
    <row r="516" spans="1:5" x14ac:dyDescent="0.45">
      <c r="A516">
        <v>2026</v>
      </c>
      <c r="B516">
        <v>4</v>
      </c>
      <c r="C516" s="4">
        <v>6401564</v>
      </c>
      <c r="D516" t="s">
        <v>208</v>
      </c>
      <c r="E516" s="3">
        <v>4780</v>
      </c>
    </row>
    <row r="517" spans="1:5" x14ac:dyDescent="0.45">
      <c r="A517">
        <v>2026</v>
      </c>
      <c r="B517">
        <v>4</v>
      </c>
      <c r="C517" s="4">
        <v>6401565</v>
      </c>
      <c r="D517" t="s">
        <v>209</v>
      </c>
      <c r="E517" s="3">
        <v>255000</v>
      </c>
    </row>
    <row r="518" spans="1:5" x14ac:dyDescent="0.45">
      <c r="A518">
        <v>2026</v>
      </c>
      <c r="B518">
        <v>4</v>
      </c>
      <c r="C518" s="4">
        <v>64017</v>
      </c>
      <c r="D518" t="s">
        <v>210</v>
      </c>
      <c r="E518" s="3">
        <v>73879.899999999994</v>
      </c>
    </row>
    <row r="519" spans="1:5" x14ac:dyDescent="0.45">
      <c r="A519">
        <v>2026</v>
      </c>
      <c r="B519">
        <v>4</v>
      </c>
      <c r="C519" s="4">
        <v>6401750</v>
      </c>
      <c r="D519" t="s">
        <v>211</v>
      </c>
      <c r="E519" s="3">
        <v>302.89999999999998</v>
      </c>
    </row>
    <row r="520" spans="1:5" x14ac:dyDescent="0.45">
      <c r="A520">
        <v>2026</v>
      </c>
      <c r="B520">
        <v>4</v>
      </c>
      <c r="C520" s="4">
        <v>6401751</v>
      </c>
      <c r="D520" t="s">
        <v>212</v>
      </c>
      <c r="E520" s="3">
        <v>73577</v>
      </c>
    </row>
    <row r="521" spans="1:5" x14ac:dyDescent="0.45">
      <c r="A521">
        <v>2026</v>
      </c>
      <c r="B521">
        <v>4</v>
      </c>
      <c r="C521" s="4">
        <v>680</v>
      </c>
      <c r="D521" t="s">
        <v>213</v>
      </c>
      <c r="E521" s="3">
        <v>54535.26</v>
      </c>
    </row>
    <row r="522" spans="1:5" x14ac:dyDescent="0.45">
      <c r="A522">
        <v>2026</v>
      </c>
      <c r="B522">
        <v>4</v>
      </c>
      <c r="C522" s="4">
        <v>68007</v>
      </c>
      <c r="D522" t="s">
        <v>214</v>
      </c>
      <c r="E522" s="3">
        <v>19050.12</v>
      </c>
    </row>
    <row r="523" spans="1:5" x14ac:dyDescent="0.45">
      <c r="A523">
        <v>2026</v>
      </c>
      <c r="B523">
        <v>4</v>
      </c>
      <c r="C523" s="4">
        <v>6800750</v>
      </c>
      <c r="D523" t="s">
        <v>215</v>
      </c>
      <c r="E523" s="3">
        <v>11063.34</v>
      </c>
    </row>
    <row r="524" spans="1:5" x14ac:dyDescent="0.45">
      <c r="A524">
        <v>2026</v>
      </c>
      <c r="B524">
        <v>4</v>
      </c>
      <c r="C524" s="4">
        <v>6800751</v>
      </c>
      <c r="D524" t="s">
        <v>216</v>
      </c>
      <c r="E524" s="3">
        <v>7986.78</v>
      </c>
    </row>
    <row r="525" spans="1:5" x14ac:dyDescent="0.45">
      <c r="A525">
        <v>2026</v>
      </c>
      <c r="B525">
        <v>4</v>
      </c>
      <c r="C525" s="4">
        <v>68020</v>
      </c>
      <c r="D525" t="s">
        <v>217</v>
      </c>
      <c r="E525" s="3">
        <v>2328.08</v>
      </c>
    </row>
    <row r="526" spans="1:5" x14ac:dyDescent="0.45">
      <c r="A526">
        <v>2026</v>
      </c>
      <c r="B526">
        <v>4</v>
      </c>
      <c r="C526" s="4">
        <v>6802010</v>
      </c>
      <c r="D526" t="s">
        <v>218</v>
      </c>
      <c r="E526" s="3">
        <v>489.55</v>
      </c>
    </row>
    <row r="527" spans="1:5" x14ac:dyDescent="0.45">
      <c r="A527">
        <v>2026</v>
      </c>
      <c r="B527">
        <v>4</v>
      </c>
      <c r="C527" s="4">
        <v>680201010</v>
      </c>
      <c r="D527" t="s">
        <v>218</v>
      </c>
      <c r="E527" s="3">
        <v>489.55</v>
      </c>
    </row>
    <row r="528" spans="1:5" x14ac:dyDescent="0.45">
      <c r="A528">
        <v>2026</v>
      </c>
      <c r="B528">
        <v>4</v>
      </c>
      <c r="C528" s="4">
        <v>6802025</v>
      </c>
      <c r="D528" t="s">
        <v>219</v>
      </c>
      <c r="E528" s="3">
        <v>1534.91</v>
      </c>
    </row>
    <row r="529" spans="1:5" x14ac:dyDescent="0.45">
      <c r="A529">
        <v>2026</v>
      </c>
      <c r="B529">
        <v>4</v>
      </c>
      <c r="C529" s="4">
        <v>680202530</v>
      </c>
      <c r="D529" t="s">
        <v>220</v>
      </c>
      <c r="E529" s="3">
        <v>1534.91</v>
      </c>
    </row>
    <row r="530" spans="1:5" x14ac:dyDescent="0.45">
      <c r="A530">
        <v>2026</v>
      </c>
      <c r="B530">
        <v>4</v>
      </c>
      <c r="C530" s="4">
        <v>6802030</v>
      </c>
      <c r="D530" t="s">
        <v>221</v>
      </c>
      <c r="E530" s="3">
        <v>303.62</v>
      </c>
    </row>
    <row r="531" spans="1:5" x14ac:dyDescent="0.45">
      <c r="A531">
        <v>2026</v>
      </c>
      <c r="B531">
        <v>4</v>
      </c>
      <c r="C531" s="4">
        <v>680203024</v>
      </c>
      <c r="D531" t="s">
        <v>222</v>
      </c>
      <c r="E531" s="3">
        <v>220.55</v>
      </c>
    </row>
    <row r="532" spans="1:5" x14ac:dyDescent="0.45">
      <c r="A532">
        <v>2026</v>
      </c>
      <c r="B532">
        <v>4</v>
      </c>
      <c r="C532" s="4">
        <v>680203050</v>
      </c>
      <c r="D532" t="s">
        <v>223</v>
      </c>
      <c r="E532" s="3">
        <v>83.07</v>
      </c>
    </row>
    <row r="533" spans="1:5" x14ac:dyDescent="0.45">
      <c r="A533">
        <v>2026</v>
      </c>
      <c r="B533">
        <v>4</v>
      </c>
      <c r="C533" s="4">
        <v>68025</v>
      </c>
      <c r="D533" t="s">
        <v>224</v>
      </c>
      <c r="E533" s="3">
        <v>33157.06</v>
      </c>
    </row>
    <row r="534" spans="1:5" x14ac:dyDescent="0.45">
      <c r="A534">
        <v>2026</v>
      </c>
      <c r="B534">
        <v>4</v>
      </c>
      <c r="C534" s="4">
        <v>6802510</v>
      </c>
      <c r="D534" t="s">
        <v>225</v>
      </c>
      <c r="E534" s="3">
        <v>25720.1</v>
      </c>
    </row>
    <row r="535" spans="1:5" x14ac:dyDescent="0.45">
      <c r="A535">
        <v>2026</v>
      </c>
      <c r="B535">
        <v>4</v>
      </c>
      <c r="C535" s="4">
        <v>6802520</v>
      </c>
      <c r="D535" t="s">
        <v>226</v>
      </c>
      <c r="E535" s="3">
        <v>4635.71</v>
      </c>
    </row>
    <row r="536" spans="1:5" x14ac:dyDescent="0.45">
      <c r="A536">
        <v>2026</v>
      </c>
      <c r="B536">
        <v>4</v>
      </c>
      <c r="C536" s="4">
        <v>6802552</v>
      </c>
      <c r="D536" t="s">
        <v>227</v>
      </c>
      <c r="E536" s="3">
        <v>2801.25</v>
      </c>
    </row>
    <row r="537" spans="1:5" x14ac:dyDescent="0.45">
      <c r="A537">
        <v>2026</v>
      </c>
      <c r="B537">
        <v>4</v>
      </c>
      <c r="C537" s="4">
        <v>690</v>
      </c>
      <c r="D537" t="s">
        <v>228</v>
      </c>
      <c r="E537" s="3">
        <v>637619.46</v>
      </c>
    </row>
    <row r="538" spans="1:5" x14ac:dyDescent="0.45">
      <c r="A538">
        <v>2026</v>
      </c>
      <c r="B538">
        <v>4</v>
      </c>
      <c r="C538" s="4">
        <v>69012</v>
      </c>
      <c r="D538" t="s">
        <v>229</v>
      </c>
      <c r="E538" s="3">
        <v>415565.23</v>
      </c>
    </row>
    <row r="539" spans="1:5" x14ac:dyDescent="0.45">
      <c r="A539">
        <v>2026</v>
      </c>
      <c r="B539">
        <v>4</v>
      </c>
      <c r="C539" s="4">
        <v>6901201</v>
      </c>
      <c r="D539" t="s">
        <v>229</v>
      </c>
      <c r="E539" s="3">
        <v>4632</v>
      </c>
    </row>
    <row r="540" spans="1:5" x14ac:dyDescent="0.45">
      <c r="A540">
        <v>2026</v>
      </c>
      <c r="B540">
        <v>4</v>
      </c>
      <c r="C540" s="4">
        <v>6901230</v>
      </c>
      <c r="D540" t="s">
        <v>230</v>
      </c>
      <c r="E540" s="3">
        <v>27451.17</v>
      </c>
    </row>
    <row r="541" spans="1:5" x14ac:dyDescent="0.45">
      <c r="A541">
        <v>2026</v>
      </c>
      <c r="B541">
        <v>4</v>
      </c>
      <c r="C541" s="4">
        <v>6901251</v>
      </c>
      <c r="D541" t="s">
        <v>231</v>
      </c>
      <c r="E541" s="3">
        <v>150339.29</v>
      </c>
    </row>
    <row r="542" spans="1:5" x14ac:dyDescent="0.45">
      <c r="A542">
        <v>2026</v>
      </c>
      <c r="B542">
        <v>4</v>
      </c>
      <c r="C542" s="4">
        <v>6901252</v>
      </c>
      <c r="D542" t="s">
        <v>232</v>
      </c>
      <c r="E542" s="3">
        <v>23218.080000000002</v>
      </c>
    </row>
    <row r="543" spans="1:5" x14ac:dyDescent="0.45">
      <c r="A543">
        <v>2026</v>
      </c>
      <c r="B543">
        <v>4</v>
      </c>
      <c r="C543" s="4">
        <v>6901253</v>
      </c>
      <c r="D543" t="s">
        <v>233</v>
      </c>
      <c r="E543" s="3">
        <v>45651.3</v>
      </c>
    </row>
    <row r="544" spans="1:5" x14ac:dyDescent="0.45">
      <c r="A544">
        <v>2026</v>
      </c>
      <c r="B544">
        <v>4</v>
      </c>
      <c r="C544" s="4">
        <v>6901254</v>
      </c>
      <c r="D544" t="s">
        <v>234</v>
      </c>
      <c r="E544" s="3">
        <v>270.08</v>
      </c>
    </row>
    <row r="545" spans="1:5" x14ac:dyDescent="0.45">
      <c r="A545">
        <v>2026</v>
      </c>
      <c r="B545">
        <v>4</v>
      </c>
      <c r="C545" s="4">
        <v>6901257</v>
      </c>
      <c r="D545" t="s">
        <v>235</v>
      </c>
      <c r="E545" s="3">
        <v>164003.31</v>
      </c>
    </row>
    <row r="546" spans="1:5" x14ac:dyDescent="0.45">
      <c r="A546">
        <v>2026</v>
      </c>
      <c r="B546">
        <v>4</v>
      </c>
      <c r="C546" s="4">
        <v>69015</v>
      </c>
      <c r="D546" t="s">
        <v>236</v>
      </c>
      <c r="E546" s="3">
        <v>16686.12</v>
      </c>
    </row>
    <row r="547" spans="1:5" x14ac:dyDescent="0.45">
      <c r="A547">
        <v>2026</v>
      </c>
      <c r="B547">
        <v>4</v>
      </c>
      <c r="C547" s="4">
        <v>6901510</v>
      </c>
      <c r="D547" t="s">
        <v>237</v>
      </c>
      <c r="E547" s="3">
        <v>2207.8200000000002</v>
      </c>
    </row>
    <row r="548" spans="1:5" x14ac:dyDescent="0.45">
      <c r="A548">
        <v>2026</v>
      </c>
      <c r="B548">
        <v>4</v>
      </c>
      <c r="C548" s="4">
        <v>690151020</v>
      </c>
      <c r="D548" t="s">
        <v>238</v>
      </c>
      <c r="E548" s="3">
        <v>2207.8200000000002</v>
      </c>
    </row>
    <row r="549" spans="1:5" x14ac:dyDescent="0.45">
      <c r="A549">
        <v>2026</v>
      </c>
      <c r="B549">
        <v>4</v>
      </c>
      <c r="C549" s="4">
        <v>6901515</v>
      </c>
      <c r="D549" t="s">
        <v>239</v>
      </c>
      <c r="E549" s="3">
        <v>1000</v>
      </c>
    </row>
    <row r="550" spans="1:5" x14ac:dyDescent="0.45">
      <c r="A550">
        <v>2026</v>
      </c>
      <c r="B550">
        <v>4</v>
      </c>
      <c r="C550" s="4">
        <v>690151520</v>
      </c>
      <c r="D550" t="s">
        <v>240</v>
      </c>
      <c r="E550" s="3">
        <v>800</v>
      </c>
    </row>
    <row r="551" spans="1:5" x14ac:dyDescent="0.45">
      <c r="A551">
        <v>2026</v>
      </c>
      <c r="B551">
        <v>4</v>
      </c>
      <c r="C551" s="4">
        <v>690151527</v>
      </c>
      <c r="D551" t="s">
        <v>241</v>
      </c>
      <c r="E551" s="3">
        <v>200</v>
      </c>
    </row>
    <row r="552" spans="1:5" x14ac:dyDescent="0.45">
      <c r="A552">
        <v>2026</v>
      </c>
      <c r="B552">
        <v>4</v>
      </c>
      <c r="C552" s="4">
        <v>6901525</v>
      </c>
      <c r="D552" t="s">
        <v>242</v>
      </c>
      <c r="E552" s="3">
        <v>13478.3</v>
      </c>
    </row>
    <row r="553" spans="1:5" x14ac:dyDescent="0.45">
      <c r="A553">
        <v>2026</v>
      </c>
      <c r="B553">
        <v>4</v>
      </c>
      <c r="C553" s="4">
        <v>690152510</v>
      </c>
      <c r="D553" t="s">
        <v>243</v>
      </c>
      <c r="E553" s="3">
        <v>3564.2</v>
      </c>
    </row>
    <row r="554" spans="1:5" x14ac:dyDescent="0.45">
      <c r="A554">
        <v>2026</v>
      </c>
      <c r="B554">
        <v>4</v>
      </c>
      <c r="C554" s="4">
        <v>690152520</v>
      </c>
      <c r="D554" t="s">
        <v>244</v>
      </c>
      <c r="E554" s="3">
        <v>6690.8</v>
      </c>
    </row>
    <row r="555" spans="1:5" x14ac:dyDescent="0.45">
      <c r="A555">
        <v>2026</v>
      </c>
      <c r="B555">
        <v>4</v>
      </c>
      <c r="C555" s="4">
        <v>690152550</v>
      </c>
      <c r="D555" t="s">
        <v>245</v>
      </c>
      <c r="E555" s="3">
        <v>1069.2</v>
      </c>
    </row>
    <row r="556" spans="1:5" x14ac:dyDescent="0.45">
      <c r="A556">
        <v>2026</v>
      </c>
      <c r="B556">
        <v>4</v>
      </c>
      <c r="C556" s="4">
        <v>690152551</v>
      </c>
      <c r="D556" t="s">
        <v>246</v>
      </c>
      <c r="E556" s="3">
        <v>2154.1</v>
      </c>
    </row>
    <row r="557" spans="1:5" x14ac:dyDescent="0.45">
      <c r="A557">
        <v>2026</v>
      </c>
      <c r="B557">
        <v>4</v>
      </c>
      <c r="C557" s="4">
        <v>69018</v>
      </c>
      <c r="D557" t="s">
        <v>247</v>
      </c>
      <c r="E557" s="3">
        <v>83699.509999999995</v>
      </c>
    </row>
    <row r="558" spans="1:5" x14ac:dyDescent="0.45">
      <c r="A558">
        <v>2026</v>
      </c>
      <c r="B558">
        <v>4</v>
      </c>
      <c r="C558" s="4">
        <v>6901815</v>
      </c>
      <c r="D558" t="s">
        <v>248</v>
      </c>
      <c r="E558" s="3">
        <v>12869.64</v>
      </c>
    </row>
    <row r="559" spans="1:5" x14ac:dyDescent="0.45">
      <c r="A559">
        <v>2026</v>
      </c>
      <c r="B559">
        <v>4</v>
      </c>
      <c r="C559" s="4">
        <v>690181520</v>
      </c>
      <c r="D559" t="s">
        <v>249</v>
      </c>
      <c r="E559" s="3">
        <v>12869.64</v>
      </c>
    </row>
    <row r="560" spans="1:5" x14ac:dyDescent="0.45">
      <c r="A560">
        <v>2026</v>
      </c>
      <c r="B560">
        <v>4</v>
      </c>
      <c r="C560" s="4">
        <v>6901820</v>
      </c>
      <c r="D560" t="s">
        <v>250</v>
      </c>
      <c r="E560" s="3">
        <v>68259.97</v>
      </c>
    </row>
    <row r="561" spans="1:5" x14ac:dyDescent="0.45">
      <c r="A561">
        <v>2026</v>
      </c>
      <c r="B561">
        <v>4</v>
      </c>
      <c r="C561" s="4">
        <v>690182025</v>
      </c>
      <c r="D561" t="s">
        <v>251</v>
      </c>
      <c r="E561" s="3">
        <v>5711.48</v>
      </c>
    </row>
    <row r="562" spans="1:5" x14ac:dyDescent="0.45">
      <c r="A562">
        <v>2026</v>
      </c>
      <c r="B562">
        <v>4</v>
      </c>
      <c r="C562" s="4">
        <v>690182037</v>
      </c>
      <c r="D562" t="s">
        <v>252</v>
      </c>
      <c r="E562" s="3">
        <v>25428.49</v>
      </c>
    </row>
    <row r="563" spans="1:5" x14ac:dyDescent="0.45">
      <c r="A563">
        <v>2026</v>
      </c>
      <c r="B563">
        <v>4</v>
      </c>
      <c r="C563" s="4">
        <v>690182040</v>
      </c>
      <c r="D563" t="s">
        <v>253</v>
      </c>
      <c r="E563" s="3">
        <v>32000</v>
      </c>
    </row>
    <row r="564" spans="1:5" x14ac:dyDescent="0.45">
      <c r="A564">
        <v>2026</v>
      </c>
      <c r="B564">
        <v>4</v>
      </c>
      <c r="C564" s="4">
        <v>690182048</v>
      </c>
      <c r="D564" t="s">
        <v>254</v>
      </c>
      <c r="E564" s="3">
        <v>5120</v>
      </c>
    </row>
    <row r="565" spans="1:5" x14ac:dyDescent="0.45">
      <c r="A565">
        <v>2026</v>
      </c>
      <c r="B565">
        <v>4</v>
      </c>
      <c r="C565" s="4">
        <v>6901825</v>
      </c>
      <c r="D565" t="s">
        <v>255</v>
      </c>
      <c r="E565" s="3">
        <v>2569.9</v>
      </c>
    </row>
    <row r="566" spans="1:5" x14ac:dyDescent="0.45">
      <c r="A566">
        <v>2026</v>
      </c>
      <c r="B566">
        <v>4</v>
      </c>
      <c r="C566" s="4">
        <v>690182520</v>
      </c>
      <c r="D566" t="s">
        <v>256</v>
      </c>
      <c r="E566" s="3">
        <v>2229.71</v>
      </c>
    </row>
    <row r="567" spans="1:5" x14ac:dyDescent="0.45">
      <c r="A567">
        <v>2026</v>
      </c>
      <c r="B567">
        <v>4</v>
      </c>
      <c r="C567" s="4">
        <v>690182564</v>
      </c>
      <c r="D567" t="s">
        <v>257</v>
      </c>
      <c r="E567" s="3">
        <v>340.19</v>
      </c>
    </row>
    <row r="568" spans="1:5" x14ac:dyDescent="0.45">
      <c r="A568">
        <v>2026</v>
      </c>
      <c r="B568">
        <v>4</v>
      </c>
      <c r="C568" s="4">
        <v>69021</v>
      </c>
      <c r="D568" t="s">
        <v>258</v>
      </c>
      <c r="E568" s="3">
        <v>24914.68</v>
      </c>
    </row>
    <row r="569" spans="1:5" x14ac:dyDescent="0.45">
      <c r="A569">
        <v>2026</v>
      </c>
      <c r="B569">
        <v>4</v>
      </c>
      <c r="C569" s="4">
        <v>6902110</v>
      </c>
      <c r="D569" t="s">
        <v>259</v>
      </c>
      <c r="E569" s="3">
        <v>17139.22</v>
      </c>
    </row>
    <row r="570" spans="1:5" x14ac:dyDescent="0.45">
      <c r="A570">
        <v>2026</v>
      </c>
      <c r="B570">
        <v>4</v>
      </c>
      <c r="C570" s="4">
        <v>6902150</v>
      </c>
      <c r="D570" t="s">
        <v>260</v>
      </c>
      <c r="E570" s="3">
        <v>4182.5</v>
      </c>
    </row>
    <row r="571" spans="1:5" x14ac:dyDescent="0.45">
      <c r="A571">
        <v>2026</v>
      </c>
      <c r="B571">
        <v>4</v>
      </c>
      <c r="C571" s="4">
        <v>6902152</v>
      </c>
      <c r="D571" t="s">
        <v>261</v>
      </c>
      <c r="E571" s="3">
        <v>970.96</v>
      </c>
    </row>
    <row r="572" spans="1:5" x14ac:dyDescent="0.45">
      <c r="A572">
        <v>2026</v>
      </c>
      <c r="B572">
        <v>4</v>
      </c>
      <c r="C572" s="4">
        <v>6902153</v>
      </c>
      <c r="D572" t="s">
        <v>262</v>
      </c>
      <c r="E572" s="3">
        <v>2622</v>
      </c>
    </row>
    <row r="573" spans="1:5" x14ac:dyDescent="0.45">
      <c r="A573">
        <v>2026</v>
      </c>
      <c r="B573">
        <v>4</v>
      </c>
      <c r="C573" s="4">
        <v>69024</v>
      </c>
      <c r="D573" t="s">
        <v>263</v>
      </c>
      <c r="E573" s="3">
        <v>36500.75</v>
      </c>
    </row>
    <row r="574" spans="1:5" x14ac:dyDescent="0.45">
      <c r="A574">
        <v>2026</v>
      </c>
      <c r="B574">
        <v>4</v>
      </c>
      <c r="C574" s="4">
        <v>6902410</v>
      </c>
      <c r="D574" t="s">
        <v>264</v>
      </c>
      <c r="E574" s="3">
        <v>18273.32</v>
      </c>
    </row>
    <row r="575" spans="1:5" x14ac:dyDescent="0.45">
      <c r="A575">
        <v>2026</v>
      </c>
      <c r="B575">
        <v>4</v>
      </c>
      <c r="C575" s="4">
        <v>690241003</v>
      </c>
      <c r="D575" t="s">
        <v>265</v>
      </c>
      <c r="E575" s="3">
        <v>11937.63</v>
      </c>
    </row>
    <row r="576" spans="1:5" x14ac:dyDescent="0.45">
      <c r="A576">
        <v>2026</v>
      </c>
      <c r="B576">
        <v>4</v>
      </c>
      <c r="C576" s="4">
        <v>690241006</v>
      </c>
      <c r="D576" t="s">
        <v>266</v>
      </c>
      <c r="E576" s="3">
        <v>2619.4699999999998</v>
      </c>
    </row>
    <row r="577" spans="1:5" x14ac:dyDescent="0.45">
      <c r="A577">
        <v>2026</v>
      </c>
      <c r="B577">
        <v>4</v>
      </c>
      <c r="C577" s="4">
        <v>690241009</v>
      </c>
      <c r="D577" t="s">
        <v>267</v>
      </c>
      <c r="E577" s="3">
        <v>868.44</v>
      </c>
    </row>
    <row r="578" spans="1:5" x14ac:dyDescent="0.45">
      <c r="A578">
        <v>2026</v>
      </c>
      <c r="B578">
        <v>4</v>
      </c>
      <c r="C578" s="4">
        <v>690241015</v>
      </c>
      <c r="D578" t="s">
        <v>268</v>
      </c>
      <c r="E578" s="3">
        <v>402.3</v>
      </c>
    </row>
    <row r="579" spans="1:5" x14ac:dyDescent="0.45">
      <c r="A579">
        <v>2026</v>
      </c>
      <c r="B579">
        <v>4</v>
      </c>
      <c r="C579" s="4">
        <v>690241021</v>
      </c>
      <c r="D579" t="s">
        <v>269</v>
      </c>
      <c r="E579" s="3">
        <v>504.22</v>
      </c>
    </row>
    <row r="580" spans="1:5" x14ac:dyDescent="0.45">
      <c r="A580">
        <v>2026</v>
      </c>
      <c r="B580">
        <v>4</v>
      </c>
      <c r="C580" s="4">
        <v>690241024</v>
      </c>
      <c r="D580" t="s">
        <v>270</v>
      </c>
      <c r="E580" s="3">
        <v>1756.91</v>
      </c>
    </row>
    <row r="581" spans="1:5" x14ac:dyDescent="0.45">
      <c r="A581">
        <v>2026</v>
      </c>
      <c r="B581">
        <v>4</v>
      </c>
      <c r="C581" s="4">
        <v>690241065</v>
      </c>
      <c r="D581" t="s">
        <v>271</v>
      </c>
      <c r="E581" s="3">
        <v>184.35</v>
      </c>
    </row>
    <row r="582" spans="1:5" x14ac:dyDescent="0.45">
      <c r="A582">
        <v>2026</v>
      </c>
      <c r="B582">
        <v>4</v>
      </c>
      <c r="C582" s="4">
        <v>6902415</v>
      </c>
      <c r="D582" t="s">
        <v>272</v>
      </c>
      <c r="E582" s="3">
        <v>9163.89</v>
      </c>
    </row>
    <row r="583" spans="1:5" x14ac:dyDescent="0.45">
      <c r="A583">
        <v>2026</v>
      </c>
      <c r="B583">
        <v>4</v>
      </c>
      <c r="C583" s="4">
        <v>690241524</v>
      </c>
      <c r="D583" t="s">
        <v>273</v>
      </c>
      <c r="E583" s="3">
        <v>6463.89</v>
      </c>
    </row>
    <row r="584" spans="1:5" x14ac:dyDescent="0.45">
      <c r="A584">
        <v>2026</v>
      </c>
      <c r="B584">
        <v>4</v>
      </c>
      <c r="C584" s="4">
        <v>690241550</v>
      </c>
      <c r="D584" t="s">
        <v>274</v>
      </c>
      <c r="E584" s="3">
        <v>2700</v>
      </c>
    </row>
    <row r="585" spans="1:5" x14ac:dyDescent="0.45">
      <c r="A585">
        <v>2026</v>
      </c>
      <c r="B585">
        <v>4</v>
      </c>
      <c r="C585" s="4">
        <v>6902420</v>
      </c>
      <c r="D585" t="s">
        <v>275</v>
      </c>
      <c r="E585" s="3">
        <v>8959</v>
      </c>
    </row>
    <row r="586" spans="1:5" x14ac:dyDescent="0.45">
      <c r="A586">
        <v>2026</v>
      </c>
      <c r="B586">
        <v>4</v>
      </c>
      <c r="C586" s="4">
        <v>690242010</v>
      </c>
      <c r="D586" t="s">
        <v>276</v>
      </c>
      <c r="E586" s="3">
        <v>8959</v>
      </c>
    </row>
    <row r="587" spans="1:5" x14ac:dyDescent="0.45">
      <c r="A587">
        <v>2026</v>
      </c>
      <c r="B587">
        <v>4</v>
      </c>
      <c r="C587" s="4">
        <v>6902425</v>
      </c>
      <c r="D587" t="s">
        <v>277</v>
      </c>
      <c r="E587" s="3">
        <v>104.54</v>
      </c>
    </row>
    <row r="588" spans="1:5" x14ac:dyDescent="0.45">
      <c r="A588">
        <v>2026</v>
      </c>
      <c r="B588">
        <v>4</v>
      </c>
      <c r="C588" s="4">
        <v>690242541</v>
      </c>
      <c r="D588" t="s">
        <v>278</v>
      </c>
      <c r="E588" s="3">
        <v>104.54</v>
      </c>
    </row>
    <row r="589" spans="1:5" x14ac:dyDescent="0.45">
      <c r="A589">
        <v>2026</v>
      </c>
      <c r="B589">
        <v>4</v>
      </c>
      <c r="C589" s="4">
        <v>69027</v>
      </c>
      <c r="D589" t="s">
        <v>279</v>
      </c>
      <c r="E589" s="3">
        <v>6413.85</v>
      </c>
    </row>
    <row r="590" spans="1:5" x14ac:dyDescent="0.45">
      <c r="A590">
        <v>2026</v>
      </c>
      <c r="B590">
        <v>4</v>
      </c>
      <c r="C590" s="4">
        <v>6902710</v>
      </c>
      <c r="D590" t="s">
        <v>280</v>
      </c>
      <c r="E590" s="3">
        <v>70</v>
      </c>
    </row>
    <row r="591" spans="1:5" x14ac:dyDescent="0.45">
      <c r="A591">
        <v>2026</v>
      </c>
      <c r="B591">
        <v>4</v>
      </c>
      <c r="C591" s="4">
        <v>6902725</v>
      </c>
      <c r="D591" t="s">
        <v>281</v>
      </c>
      <c r="E591" s="3">
        <v>6193.85</v>
      </c>
    </row>
    <row r="592" spans="1:5" x14ac:dyDescent="0.45">
      <c r="A592">
        <v>2026</v>
      </c>
      <c r="B592">
        <v>4</v>
      </c>
      <c r="C592" s="4">
        <v>6902730</v>
      </c>
      <c r="D592" t="s">
        <v>282</v>
      </c>
      <c r="E592" s="3">
        <v>150</v>
      </c>
    </row>
    <row r="593" spans="1:5" x14ac:dyDescent="0.45">
      <c r="A593">
        <v>2026</v>
      </c>
      <c r="B593">
        <v>4</v>
      </c>
      <c r="C593" s="4">
        <v>69033</v>
      </c>
      <c r="D593" t="s">
        <v>283</v>
      </c>
      <c r="E593" s="3">
        <v>53839.32</v>
      </c>
    </row>
    <row r="594" spans="1:5" x14ac:dyDescent="0.45">
      <c r="A594">
        <v>2026</v>
      </c>
      <c r="B594">
        <v>4</v>
      </c>
      <c r="C594" s="4">
        <v>6903310</v>
      </c>
      <c r="D594" t="s">
        <v>284</v>
      </c>
      <c r="E594" s="3">
        <v>168.64</v>
      </c>
    </row>
    <row r="595" spans="1:5" x14ac:dyDescent="0.45">
      <c r="A595">
        <v>2026</v>
      </c>
      <c r="B595">
        <v>4</v>
      </c>
      <c r="C595" s="4">
        <v>6903312</v>
      </c>
      <c r="D595" t="s">
        <v>285</v>
      </c>
      <c r="E595" s="3">
        <v>13429.24</v>
      </c>
    </row>
    <row r="596" spans="1:5" x14ac:dyDescent="0.45">
      <c r="A596">
        <v>2026</v>
      </c>
      <c r="B596">
        <v>4</v>
      </c>
      <c r="C596" s="4">
        <v>6903315</v>
      </c>
      <c r="D596" t="s">
        <v>286</v>
      </c>
      <c r="E596" s="3">
        <v>1443.39</v>
      </c>
    </row>
    <row r="597" spans="1:5" x14ac:dyDescent="0.45">
      <c r="A597">
        <v>2026</v>
      </c>
      <c r="B597">
        <v>4</v>
      </c>
      <c r="C597" s="4">
        <v>6903316</v>
      </c>
      <c r="D597" t="s">
        <v>287</v>
      </c>
      <c r="E597" s="3">
        <v>13168.29</v>
      </c>
    </row>
    <row r="598" spans="1:5" x14ac:dyDescent="0.45">
      <c r="A598">
        <v>2026</v>
      </c>
      <c r="B598">
        <v>4</v>
      </c>
      <c r="C598" s="4">
        <v>6903320</v>
      </c>
      <c r="D598" t="s">
        <v>288</v>
      </c>
      <c r="E598" s="3">
        <v>2850.92</v>
      </c>
    </row>
    <row r="599" spans="1:5" x14ac:dyDescent="0.45">
      <c r="A599">
        <v>2026</v>
      </c>
      <c r="B599">
        <v>4</v>
      </c>
      <c r="C599" s="4">
        <v>6903351</v>
      </c>
      <c r="D599" t="s">
        <v>289</v>
      </c>
      <c r="E599" s="3">
        <v>8579.4</v>
      </c>
    </row>
    <row r="600" spans="1:5" x14ac:dyDescent="0.45">
      <c r="A600">
        <v>2026</v>
      </c>
      <c r="B600">
        <v>4</v>
      </c>
      <c r="C600" s="4">
        <v>6903352</v>
      </c>
      <c r="D600" t="s">
        <v>290</v>
      </c>
      <c r="E600" s="3">
        <v>12788.9</v>
      </c>
    </row>
    <row r="601" spans="1:5" x14ac:dyDescent="0.45">
      <c r="A601">
        <v>2026</v>
      </c>
      <c r="B601">
        <v>4</v>
      </c>
      <c r="C601" s="4">
        <v>6903353</v>
      </c>
      <c r="D601" t="s">
        <v>291</v>
      </c>
      <c r="E601" s="3">
        <v>536.82000000000005</v>
      </c>
    </row>
    <row r="602" spans="1:5" x14ac:dyDescent="0.45">
      <c r="A602">
        <v>2026</v>
      </c>
      <c r="B602">
        <v>4</v>
      </c>
      <c r="C602" s="4">
        <v>6903354</v>
      </c>
      <c r="D602" t="s">
        <v>292</v>
      </c>
      <c r="E602" s="3">
        <v>873.72</v>
      </c>
    </row>
    <row r="603" spans="1:5" x14ac:dyDescent="0.45">
      <c r="A603">
        <v>2026</v>
      </c>
      <c r="B603">
        <v>4</v>
      </c>
      <c r="C603" s="4">
        <v>700</v>
      </c>
      <c r="D603" t="s">
        <v>293</v>
      </c>
      <c r="E603" s="3">
        <v>183582.27</v>
      </c>
    </row>
    <row r="604" spans="1:5" x14ac:dyDescent="0.45">
      <c r="A604">
        <v>2026</v>
      </c>
      <c r="B604">
        <v>4</v>
      </c>
      <c r="C604" s="4">
        <v>70010</v>
      </c>
      <c r="D604" t="s">
        <v>294</v>
      </c>
      <c r="E604" s="3">
        <v>178652.71</v>
      </c>
    </row>
    <row r="605" spans="1:5" x14ac:dyDescent="0.45">
      <c r="A605">
        <v>2026</v>
      </c>
      <c r="B605">
        <v>4</v>
      </c>
      <c r="C605" s="4">
        <v>7001010</v>
      </c>
      <c r="D605" t="s">
        <v>295</v>
      </c>
      <c r="E605" s="3">
        <v>30000</v>
      </c>
    </row>
    <row r="606" spans="1:5" x14ac:dyDescent="0.45">
      <c r="A606">
        <v>2026</v>
      </c>
      <c r="B606">
        <v>4</v>
      </c>
      <c r="C606" s="4">
        <v>7001020</v>
      </c>
      <c r="D606" t="s">
        <v>296</v>
      </c>
      <c r="E606" s="3">
        <v>10318.82</v>
      </c>
    </row>
    <row r="607" spans="1:5" x14ac:dyDescent="0.45">
      <c r="A607">
        <v>2026</v>
      </c>
      <c r="B607">
        <v>4</v>
      </c>
      <c r="C607" s="4">
        <v>7001052</v>
      </c>
      <c r="D607" t="s">
        <v>297</v>
      </c>
      <c r="E607" s="3">
        <v>40133.89</v>
      </c>
    </row>
    <row r="608" spans="1:5" x14ac:dyDescent="0.45">
      <c r="A608">
        <v>2026</v>
      </c>
      <c r="B608">
        <v>4</v>
      </c>
      <c r="C608" s="4">
        <v>7001053</v>
      </c>
      <c r="D608" t="s">
        <v>298</v>
      </c>
      <c r="E608" s="3">
        <v>8100</v>
      </c>
    </row>
    <row r="609" spans="1:5" x14ac:dyDescent="0.45">
      <c r="A609">
        <v>2026</v>
      </c>
      <c r="B609">
        <v>4</v>
      </c>
      <c r="C609" s="4">
        <v>7001054</v>
      </c>
      <c r="D609" t="s">
        <v>299</v>
      </c>
      <c r="E609" s="3">
        <v>100</v>
      </c>
    </row>
    <row r="610" spans="1:5" x14ac:dyDescent="0.45">
      <c r="A610">
        <v>2026</v>
      </c>
      <c r="B610">
        <v>4</v>
      </c>
      <c r="C610" s="4">
        <v>7001055</v>
      </c>
      <c r="D610" t="s">
        <v>300</v>
      </c>
      <c r="E610" s="3">
        <v>90000</v>
      </c>
    </row>
    <row r="611" spans="1:5" x14ac:dyDescent="0.45">
      <c r="A611">
        <v>2026</v>
      </c>
      <c r="B611">
        <v>4</v>
      </c>
      <c r="C611" s="4">
        <v>70015</v>
      </c>
      <c r="D611" t="s">
        <v>301</v>
      </c>
      <c r="E611" s="3">
        <v>106.63</v>
      </c>
    </row>
    <row r="612" spans="1:5" x14ac:dyDescent="0.45">
      <c r="A612">
        <v>2026</v>
      </c>
      <c r="B612">
        <v>4</v>
      </c>
      <c r="C612" s="4">
        <v>7001520</v>
      </c>
      <c r="D612" t="s">
        <v>302</v>
      </c>
      <c r="E612" s="3">
        <v>106.63</v>
      </c>
    </row>
    <row r="613" spans="1:5" x14ac:dyDescent="0.45">
      <c r="A613">
        <v>2026</v>
      </c>
      <c r="B613">
        <v>4</v>
      </c>
      <c r="C613" s="4">
        <v>70040</v>
      </c>
      <c r="D613" t="s">
        <v>303</v>
      </c>
      <c r="E613" s="3">
        <v>4822.93</v>
      </c>
    </row>
    <row r="614" spans="1:5" x14ac:dyDescent="0.45">
      <c r="A614">
        <v>2026</v>
      </c>
      <c r="B614">
        <v>4</v>
      </c>
      <c r="C614" s="4">
        <v>7004030</v>
      </c>
      <c r="D614" t="s">
        <v>304</v>
      </c>
      <c r="E614" s="3">
        <v>4822.93</v>
      </c>
    </row>
    <row r="615" spans="1:5" x14ac:dyDescent="0.45">
      <c r="A615">
        <v>2026</v>
      </c>
      <c r="B615">
        <v>4</v>
      </c>
      <c r="C615" s="4">
        <v>710</v>
      </c>
      <c r="D615" t="s">
        <v>305</v>
      </c>
      <c r="E615" s="3">
        <v>293866.40000000002</v>
      </c>
    </row>
    <row r="616" spans="1:5" x14ac:dyDescent="0.45">
      <c r="A616">
        <v>2026</v>
      </c>
      <c r="B616">
        <v>4</v>
      </c>
      <c r="C616" s="4">
        <v>71010</v>
      </c>
      <c r="D616" t="s">
        <v>306</v>
      </c>
      <c r="E616" s="3">
        <v>218720.77</v>
      </c>
    </row>
    <row r="617" spans="1:5" x14ac:dyDescent="0.45">
      <c r="A617">
        <v>2026</v>
      </c>
      <c r="B617">
        <v>4</v>
      </c>
      <c r="C617" s="4">
        <v>7101010</v>
      </c>
      <c r="D617" t="s">
        <v>307</v>
      </c>
      <c r="E617" s="3">
        <v>218718.66</v>
      </c>
    </row>
    <row r="618" spans="1:5" x14ac:dyDescent="0.45">
      <c r="A618">
        <v>2026</v>
      </c>
      <c r="B618">
        <v>4</v>
      </c>
      <c r="C618" s="4">
        <v>7101045</v>
      </c>
      <c r="D618" t="s">
        <v>308</v>
      </c>
      <c r="E618" s="3">
        <v>2.11</v>
      </c>
    </row>
    <row r="619" spans="1:5" x14ac:dyDescent="0.45">
      <c r="A619">
        <v>2026</v>
      </c>
      <c r="B619">
        <v>4</v>
      </c>
      <c r="C619" s="4">
        <v>71015</v>
      </c>
      <c r="D619" t="s">
        <v>309</v>
      </c>
      <c r="E619" s="3">
        <v>59335.77</v>
      </c>
    </row>
    <row r="620" spans="1:5" x14ac:dyDescent="0.45">
      <c r="A620">
        <v>2026</v>
      </c>
      <c r="B620">
        <v>4</v>
      </c>
      <c r="C620" s="4">
        <v>7101510</v>
      </c>
      <c r="D620" t="s">
        <v>310</v>
      </c>
      <c r="E620" s="3">
        <v>57497.97</v>
      </c>
    </row>
    <row r="621" spans="1:5" x14ac:dyDescent="0.45">
      <c r="A621">
        <v>2026</v>
      </c>
      <c r="B621">
        <v>4</v>
      </c>
      <c r="C621" s="4">
        <v>7101517</v>
      </c>
      <c r="D621" t="s">
        <v>311</v>
      </c>
      <c r="E621" s="3">
        <v>1104.82</v>
      </c>
    </row>
    <row r="622" spans="1:5" x14ac:dyDescent="0.45">
      <c r="A622">
        <v>2026</v>
      </c>
      <c r="B622">
        <v>4</v>
      </c>
      <c r="C622" s="4">
        <v>710151715</v>
      </c>
      <c r="D622" t="s">
        <v>312</v>
      </c>
      <c r="E622" s="3">
        <v>870</v>
      </c>
    </row>
    <row r="623" spans="1:5" x14ac:dyDescent="0.45">
      <c r="A623">
        <v>2026</v>
      </c>
      <c r="B623">
        <v>4</v>
      </c>
      <c r="C623" s="4">
        <v>710151720</v>
      </c>
      <c r="D623" t="s">
        <v>313</v>
      </c>
      <c r="E623" s="3">
        <v>234.82</v>
      </c>
    </row>
    <row r="624" spans="1:5" x14ac:dyDescent="0.45">
      <c r="A624">
        <v>2026</v>
      </c>
      <c r="B624">
        <v>4</v>
      </c>
      <c r="C624" s="4">
        <v>7101520</v>
      </c>
      <c r="D624" t="s">
        <v>314</v>
      </c>
      <c r="E624" s="3">
        <v>732.98</v>
      </c>
    </row>
    <row r="625" spans="1:5" x14ac:dyDescent="0.45">
      <c r="A625">
        <v>2026</v>
      </c>
      <c r="B625">
        <v>4</v>
      </c>
      <c r="C625" s="4">
        <v>71020</v>
      </c>
      <c r="D625" t="s">
        <v>315</v>
      </c>
      <c r="E625" s="3">
        <v>15049.61</v>
      </c>
    </row>
    <row r="626" spans="1:5" x14ac:dyDescent="0.45">
      <c r="A626">
        <v>2026</v>
      </c>
      <c r="B626">
        <v>4</v>
      </c>
      <c r="C626" s="4">
        <v>7102010</v>
      </c>
      <c r="D626" t="s">
        <v>316</v>
      </c>
      <c r="E626" s="3">
        <v>15049.61</v>
      </c>
    </row>
    <row r="627" spans="1:5" x14ac:dyDescent="0.45">
      <c r="A627">
        <v>2026</v>
      </c>
      <c r="B627">
        <v>4</v>
      </c>
      <c r="C627" s="4">
        <v>71025</v>
      </c>
      <c r="D627" t="s">
        <v>317</v>
      </c>
      <c r="E627" s="3">
        <v>29.22</v>
      </c>
    </row>
    <row r="628" spans="1:5" x14ac:dyDescent="0.45">
      <c r="A628">
        <v>2026</v>
      </c>
      <c r="B628">
        <v>4</v>
      </c>
      <c r="C628" s="4">
        <v>7102520</v>
      </c>
      <c r="D628" t="s">
        <v>318</v>
      </c>
      <c r="E628" s="3">
        <v>29.22</v>
      </c>
    </row>
    <row r="629" spans="1:5" x14ac:dyDescent="0.45">
      <c r="A629">
        <v>2026</v>
      </c>
      <c r="B629">
        <v>4</v>
      </c>
      <c r="C629" s="4">
        <v>71030</v>
      </c>
      <c r="D629" t="s">
        <v>319</v>
      </c>
      <c r="E629" s="3">
        <v>731.03</v>
      </c>
    </row>
    <row r="630" spans="1:5" x14ac:dyDescent="0.45">
      <c r="A630">
        <v>2026</v>
      </c>
      <c r="B630">
        <v>4</v>
      </c>
      <c r="C630" s="4">
        <v>7103024</v>
      </c>
      <c r="D630" t="s">
        <v>320</v>
      </c>
      <c r="E630" s="3">
        <v>731.03</v>
      </c>
    </row>
    <row r="631" spans="1:5" x14ac:dyDescent="0.45">
      <c r="A631">
        <v>2026</v>
      </c>
      <c r="B631">
        <v>4</v>
      </c>
      <c r="C631" s="4">
        <v>720</v>
      </c>
      <c r="D631" t="s">
        <v>321</v>
      </c>
      <c r="E631" s="3">
        <v>14554.2</v>
      </c>
    </row>
    <row r="632" spans="1:5" x14ac:dyDescent="0.45">
      <c r="A632">
        <v>2026</v>
      </c>
      <c r="B632">
        <v>4</v>
      </c>
      <c r="C632" s="4">
        <v>72015</v>
      </c>
      <c r="D632" t="s">
        <v>322</v>
      </c>
      <c r="E632" s="3">
        <v>14554.2</v>
      </c>
    </row>
    <row r="633" spans="1:5" x14ac:dyDescent="0.45">
      <c r="A633">
        <v>2026</v>
      </c>
      <c r="B633">
        <v>4</v>
      </c>
      <c r="C633" s="4">
        <v>7201510</v>
      </c>
      <c r="D633" t="s">
        <v>323</v>
      </c>
      <c r="E633" s="3">
        <v>14554.2</v>
      </c>
    </row>
    <row r="634" spans="1:5" x14ac:dyDescent="0.45">
      <c r="A634">
        <v>2026</v>
      </c>
      <c r="B634">
        <v>4</v>
      </c>
      <c r="C634" s="4">
        <v>720151015</v>
      </c>
      <c r="D634" t="s">
        <v>324</v>
      </c>
      <c r="E634" s="3">
        <v>2467.35</v>
      </c>
    </row>
    <row r="635" spans="1:5" x14ac:dyDescent="0.45">
      <c r="A635">
        <v>2026</v>
      </c>
      <c r="B635">
        <v>4</v>
      </c>
      <c r="C635" s="4">
        <v>720151025</v>
      </c>
      <c r="D635" t="s">
        <v>325</v>
      </c>
      <c r="E635" s="3">
        <v>12018.85</v>
      </c>
    </row>
    <row r="636" spans="1:5" x14ac:dyDescent="0.45">
      <c r="A636">
        <v>2026</v>
      </c>
      <c r="B636">
        <v>4</v>
      </c>
      <c r="C636" s="4">
        <v>720151029</v>
      </c>
      <c r="D636" t="s">
        <v>326</v>
      </c>
      <c r="E636" s="3">
        <v>68</v>
      </c>
    </row>
    <row r="637" spans="1:5" x14ac:dyDescent="0.45">
      <c r="A637">
        <v>2026</v>
      </c>
      <c r="B637">
        <v>4</v>
      </c>
      <c r="C637" s="4">
        <v>730</v>
      </c>
      <c r="D637" t="s">
        <v>327</v>
      </c>
      <c r="E637" s="3">
        <v>-1214.03</v>
      </c>
    </row>
    <row r="638" spans="1:5" x14ac:dyDescent="0.45">
      <c r="A638">
        <v>2026</v>
      </c>
      <c r="B638">
        <v>4</v>
      </c>
      <c r="C638" s="4">
        <v>73025</v>
      </c>
      <c r="D638" t="s">
        <v>328</v>
      </c>
      <c r="E638" s="3">
        <v>-1214.03</v>
      </c>
    </row>
    <row r="639" spans="1:5" x14ac:dyDescent="0.45">
      <c r="A639">
        <v>2026</v>
      </c>
      <c r="B639">
        <v>4</v>
      </c>
      <c r="C639" s="4">
        <v>7302510</v>
      </c>
      <c r="D639" t="s">
        <v>329</v>
      </c>
      <c r="E639" s="3">
        <v>3593.79</v>
      </c>
    </row>
    <row r="640" spans="1:5" x14ac:dyDescent="0.45">
      <c r="A640">
        <v>2026</v>
      </c>
      <c r="B640">
        <v>4</v>
      </c>
      <c r="C640" s="4">
        <v>7302515</v>
      </c>
      <c r="D640" t="s">
        <v>330</v>
      </c>
      <c r="E640" s="3">
        <v>-4020.84</v>
      </c>
    </row>
    <row r="641" spans="1:5" x14ac:dyDescent="0.45">
      <c r="A641">
        <v>2026</v>
      </c>
      <c r="B641">
        <v>4</v>
      </c>
      <c r="C641" s="4">
        <v>7302552</v>
      </c>
      <c r="D641" t="s">
        <v>331</v>
      </c>
      <c r="E641" s="3">
        <v>38364.6</v>
      </c>
    </row>
    <row r="642" spans="1:5" x14ac:dyDescent="0.45">
      <c r="A642">
        <v>2026</v>
      </c>
      <c r="B642">
        <v>4</v>
      </c>
      <c r="C642" s="4">
        <v>7302554</v>
      </c>
      <c r="D642" t="s">
        <v>332</v>
      </c>
      <c r="E642" s="3">
        <v>-39151.58</v>
      </c>
    </row>
    <row r="643" spans="1:5" x14ac:dyDescent="0.45">
      <c r="A643">
        <v>2026</v>
      </c>
      <c r="B643">
        <v>4</v>
      </c>
      <c r="C643" s="4">
        <v>760</v>
      </c>
      <c r="D643" t="s">
        <v>333</v>
      </c>
      <c r="E643" s="3">
        <v>149502.88</v>
      </c>
    </row>
    <row r="644" spans="1:5" x14ac:dyDescent="0.45">
      <c r="A644">
        <v>2026</v>
      </c>
      <c r="B644">
        <v>4</v>
      </c>
      <c r="C644" s="4">
        <v>76010</v>
      </c>
      <c r="D644" t="s">
        <v>334</v>
      </c>
      <c r="E644" s="3">
        <v>113198.96</v>
      </c>
    </row>
    <row r="645" spans="1:5" x14ac:dyDescent="0.45">
      <c r="A645">
        <v>2026</v>
      </c>
      <c r="B645">
        <v>4</v>
      </c>
      <c r="C645" s="4">
        <v>7601010</v>
      </c>
      <c r="D645" t="s">
        <v>335</v>
      </c>
      <c r="E645" s="3">
        <v>350.5</v>
      </c>
    </row>
    <row r="646" spans="1:5" x14ac:dyDescent="0.45">
      <c r="A646">
        <v>2026</v>
      </c>
      <c r="B646">
        <v>4</v>
      </c>
      <c r="C646" s="4">
        <v>760101010</v>
      </c>
      <c r="D646" t="s">
        <v>336</v>
      </c>
      <c r="E646" s="3">
        <v>350.5</v>
      </c>
    </row>
    <row r="647" spans="1:5" x14ac:dyDescent="0.45">
      <c r="A647">
        <v>2026</v>
      </c>
      <c r="B647">
        <v>4</v>
      </c>
      <c r="C647" s="4">
        <v>7601015</v>
      </c>
      <c r="D647" t="s">
        <v>337</v>
      </c>
      <c r="E647" s="3">
        <v>438.96</v>
      </c>
    </row>
    <row r="648" spans="1:5" x14ac:dyDescent="0.45">
      <c r="A648">
        <v>2026</v>
      </c>
      <c r="B648">
        <v>4</v>
      </c>
      <c r="C648" s="4">
        <v>760101510</v>
      </c>
      <c r="D648" t="s">
        <v>338</v>
      </c>
      <c r="E648" s="3">
        <v>438.96</v>
      </c>
    </row>
    <row r="649" spans="1:5" x14ac:dyDescent="0.45">
      <c r="A649">
        <v>2026</v>
      </c>
      <c r="B649">
        <v>4</v>
      </c>
      <c r="C649" s="4">
        <v>7601025</v>
      </c>
      <c r="D649" t="s">
        <v>339</v>
      </c>
      <c r="E649" s="3">
        <v>4351.1400000000003</v>
      </c>
    </row>
    <row r="650" spans="1:5" x14ac:dyDescent="0.45">
      <c r="A650">
        <v>2026</v>
      </c>
      <c r="B650">
        <v>4</v>
      </c>
      <c r="C650" s="4">
        <v>760102515</v>
      </c>
      <c r="D650" t="s">
        <v>340</v>
      </c>
      <c r="E650" s="3">
        <v>2128.14</v>
      </c>
    </row>
    <row r="651" spans="1:5" x14ac:dyDescent="0.45">
      <c r="A651">
        <v>2026</v>
      </c>
      <c r="B651">
        <v>4</v>
      </c>
      <c r="C651" s="4">
        <v>760102520</v>
      </c>
      <c r="D651" t="s">
        <v>341</v>
      </c>
      <c r="E651" s="3">
        <v>573</v>
      </c>
    </row>
    <row r="652" spans="1:5" x14ac:dyDescent="0.45">
      <c r="A652">
        <v>2026</v>
      </c>
      <c r="B652">
        <v>4</v>
      </c>
      <c r="C652" s="4">
        <v>760102525</v>
      </c>
      <c r="D652" t="s">
        <v>342</v>
      </c>
      <c r="E652" s="3">
        <v>1650</v>
      </c>
    </row>
    <row r="653" spans="1:5" x14ac:dyDescent="0.45">
      <c r="A653">
        <v>2026</v>
      </c>
      <c r="B653">
        <v>4</v>
      </c>
      <c r="C653" s="4">
        <v>7601035</v>
      </c>
      <c r="D653" t="s">
        <v>343</v>
      </c>
      <c r="E653" s="3">
        <v>108058.36</v>
      </c>
    </row>
    <row r="654" spans="1:5" x14ac:dyDescent="0.45">
      <c r="A654">
        <v>2026</v>
      </c>
      <c r="B654">
        <v>4</v>
      </c>
      <c r="C654" s="4">
        <v>760103510</v>
      </c>
      <c r="D654" t="s">
        <v>343</v>
      </c>
      <c r="E654" s="3">
        <v>108</v>
      </c>
    </row>
    <row r="655" spans="1:5" x14ac:dyDescent="0.45">
      <c r="A655">
        <v>2026</v>
      </c>
      <c r="B655">
        <v>4</v>
      </c>
      <c r="C655" s="4">
        <v>760103525</v>
      </c>
      <c r="D655" t="s">
        <v>344</v>
      </c>
      <c r="E655" s="3">
        <v>66454.91</v>
      </c>
    </row>
    <row r="656" spans="1:5" x14ac:dyDescent="0.45">
      <c r="A656">
        <v>2026</v>
      </c>
      <c r="B656">
        <v>4</v>
      </c>
      <c r="C656" s="4">
        <v>760103550</v>
      </c>
      <c r="D656" t="s">
        <v>345</v>
      </c>
      <c r="E656" s="3">
        <v>80</v>
      </c>
    </row>
    <row r="657" spans="1:5" x14ac:dyDescent="0.45">
      <c r="A657">
        <v>2026</v>
      </c>
      <c r="B657">
        <v>4</v>
      </c>
      <c r="C657" s="4">
        <v>760103551</v>
      </c>
      <c r="D657" t="s">
        <v>346</v>
      </c>
      <c r="E657" s="3">
        <v>41415.449999999997</v>
      </c>
    </row>
    <row r="658" spans="1:5" x14ac:dyDescent="0.45">
      <c r="A658">
        <v>2026</v>
      </c>
      <c r="B658">
        <v>4</v>
      </c>
      <c r="C658" s="4">
        <v>76015</v>
      </c>
      <c r="D658" t="s">
        <v>347</v>
      </c>
      <c r="E658" s="3">
        <v>3204.17</v>
      </c>
    </row>
    <row r="659" spans="1:5" x14ac:dyDescent="0.45">
      <c r="A659">
        <v>2026</v>
      </c>
      <c r="B659">
        <v>4</v>
      </c>
      <c r="C659" s="4">
        <v>7601510</v>
      </c>
      <c r="D659" t="s">
        <v>348</v>
      </c>
      <c r="E659" s="3">
        <v>1958</v>
      </c>
    </row>
    <row r="660" spans="1:5" x14ac:dyDescent="0.45">
      <c r="A660">
        <v>2026</v>
      </c>
      <c r="B660">
        <v>4</v>
      </c>
      <c r="C660" s="4">
        <v>7601520</v>
      </c>
      <c r="D660" t="s">
        <v>349</v>
      </c>
      <c r="E660" s="3">
        <v>1246.17</v>
      </c>
    </row>
    <row r="661" spans="1:5" x14ac:dyDescent="0.45">
      <c r="A661">
        <v>2026</v>
      </c>
      <c r="B661">
        <v>4</v>
      </c>
      <c r="C661" s="4">
        <v>76020</v>
      </c>
      <c r="D661" t="s">
        <v>230</v>
      </c>
      <c r="E661" s="3">
        <v>33099.75</v>
      </c>
    </row>
    <row r="662" spans="1:5" x14ac:dyDescent="0.45">
      <c r="A662">
        <v>2026</v>
      </c>
      <c r="B662">
        <v>4</v>
      </c>
      <c r="C662" s="4">
        <v>76020015</v>
      </c>
      <c r="D662" t="s">
        <v>350</v>
      </c>
      <c r="E662" s="3">
        <v>18</v>
      </c>
    </row>
    <row r="663" spans="1:5" x14ac:dyDescent="0.45">
      <c r="A663">
        <v>2026</v>
      </c>
      <c r="B663">
        <v>4</v>
      </c>
      <c r="C663" s="4">
        <v>76020020</v>
      </c>
      <c r="D663" t="s">
        <v>351</v>
      </c>
      <c r="E663" s="3">
        <v>1534.51</v>
      </c>
    </row>
    <row r="664" spans="1:5" x14ac:dyDescent="0.45">
      <c r="A664">
        <v>2026</v>
      </c>
      <c r="B664">
        <v>4</v>
      </c>
      <c r="C664" s="4">
        <v>76020025</v>
      </c>
      <c r="D664" t="s">
        <v>352</v>
      </c>
      <c r="E664" s="3">
        <v>178.94</v>
      </c>
    </row>
    <row r="665" spans="1:5" x14ac:dyDescent="0.45">
      <c r="A665">
        <v>2026</v>
      </c>
      <c r="B665">
        <v>4</v>
      </c>
      <c r="C665" s="4">
        <v>76020104</v>
      </c>
      <c r="D665" t="s">
        <v>353</v>
      </c>
      <c r="E665" s="3">
        <v>30734.6</v>
      </c>
    </row>
    <row r="666" spans="1:5" x14ac:dyDescent="0.45">
      <c r="A666">
        <v>2026</v>
      </c>
      <c r="B666">
        <v>4</v>
      </c>
      <c r="C666" s="4">
        <v>76020107</v>
      </c>
      <c r="D666" t="s">
        <v>354</v>
      </c>
      <c r="E666" s="3">
        <v>4</v>
      </c>
    </row>
    <row r="667" spans="1:5" x14ac:dyDescent="0.45">
      <c r="A667">
        <v>2026</v>
      </c>
      <c r="B667">
        <v>4</v>
      </c>
      <c r="C667" s="4">
        <v>76020120</v>
      </c>
      <c r="D667" t="s">
        <v>355</v>
      </c>
      <c r="E667" s="3">
        <v>628.74</v>
      </c>
    </row>
    <row r="668" spans="1:5" x14ac:dyDescent="0.45">
      <c r="A668">
        <v>2026</v>
      </c>
      <c r="B668">
        <v>4</v>
      </c>
      <c r="C668" s="4">
        <v>76020500</v>
      </c>
      <c r="D668" t="s">
        <v>356</v>
      </c>
      <c r="E668" s="3">
        <v>0.59</v>
      </c>
    </row>
    <row r="669" spans="1:5" x14ac:dyDescent="0.45">
      <c r="A669">
        <v>2026</v>
      </c>
      <c r="B669">
        <v>4</v>
      </c>
      <c r="C669" s="4">
        <v>76020501</v>
      </c>
      <c r="D669" t="s">
        <v>357</v>
      </c>
      <c r="E669" s="3">
        <v>0.37</v>
      </c>
    </row>
    <row r="670" spans="1:5" x14ac:dyDescent="0.45">
      <c r="A670">
        <v>2026</v>
      </c>
      <c r="B670">
        <v>4</v>
      </c>
      <c r="C670" s="4">
        <v>840</v>
      </c>
      <c r="D670" t="s">
        <v>358</v>
      </c>
      <c r="E670" s="3">
        <v>1.41</v>
      </c>
    </row>
    <row r="671" spans="1:5" x14ac:dyDescent="0.45">
      <c r="A671">
        <v>2026</v>
      </c>
      <c r="B671">
        <v>4</v>
      </c>
      <c r="C671" s="4">
        <v>84015</v>
      </c>
      <c r="D671" t="s">
        <v>359</v>
      </c>
      <c r="E671" s="3">
        <v>1.41</v>
      </c>
    </row>
    <row r="672" spans="1:5" x14ac:dyDescent="0.45">
      <c r="A672">
        <v>2026</v>
      </c>
      <c r="B672">
        <v>4</v>
      </c>
      <c r="C672" s="4">
        <v>8401510</v>
      </c>
      <c r="D672" t="s">
        <v>360</v>
      </c>
      <c r="E672" s="3">
        <v>1.41</v>
      </c>
    </row>
    <row r="673" spans="1:5" x14ac:dyDescent="0.45">
      <c r="A673">
        <v>2026</v>
      </c>
      <c r="B673">
        <v>4</v>
      </c>
      <c r="C673" s="4">
        <v>850</v>
      </c>
      <c r="D673" t="s">
        <v>361</v>
      </c>
      <c r="E673" s="3">
        <v>9560.35</v>
      </c>
    </row>
    <row r="674" spans="1:5" x14ac:dyDescent="0.45">
      <c r="A674">
        <v>2026</v>
      </c>
      <c r="B674">
        <v>4</v>
      </c>
      <c r="C674" s="4">
        <v>85015</v>
      </c>
      <c r="D674" t="s">
        <v>362</v>
      </c>
      <c r="E674" s="3">
        <v>9560.35</v>
      </c>
    </row>
    <row r="675" spans="1:5" x14ac:dyDescent="0.45">
      <c r="A675">
        <v>2026</v>
      </c>
      <c r="B675">
        <v>4</v>
      </c>
      <c r="C675" s="4">
        <v>85015040</v>
      </c>
      <c r="D675" t="s">
        <v>363</v>
      </c>
      <c r="E675" s="3">
        <v>17.829999999999998</v>
      </c>
    </row>
    <row r="676" spans="1:5" x14ac:dyDescent="0.45">
      <c r="A676">
        <v>2026</v>
      </c>
      <c r="B676">
        <v>4</v>
      </c>
      <c r="C676" s="4">
        <v>85015050</v>
      </c>
      <c r="D676" t="s">
        <v>364</v>
      </c>
      <c r="E676" s="3">
        <v>276.26</v>
      </c>
    </row>
    <row r="677" spans="1:5" x14ac:dyDescent="0.45">
      <c r="A677">
        <v>2026</v>
      </c>
      <c r="B677">
        <v>4</v>
      </c>
      <c r="C677" s="4">
        <v>85015052</v>
      </c>
      <c r="D677" t="s">
        <v>365</v>
      </c>
      <c r="E677" s="3">
        <v>4.9000000000000004</v>
      </c>
    </row>
    <row r="678" spans="1:5" x14ac:dyDescent="0.45">
      <c r="A678">
        <v>2026</v>
      </c>
      <c r="B678">
        <v>4</v>
      </c>
      <c r="C678" s="4">
        <v>85015053</v>
      </c>
      <c r="D678" t="s">
        <v>366</v>
      </c>
      <c r="E678" s="3">
        <v>6301.1</v>
      </c>
    </row>
    <row r="679" spans="1:5" x14ac:dyDescent="0.45">
      <c r="A679">
        <v>2026</v>
      </c>
      <c r="B679">
        <v>4</v>
      </c>
      <c r="C679" s="4">
        <v>85015090</v>
      </c>
      <c r="D679" t="s">
        <v>367</v>
      </c>
      <c r="E679" s="3">
        <v>2960.26</v>
      </c>
    </row>
    <row r="680" spans="1:5" x14ac:dyDescent="0.45">
      <c r="A680">
        <v>2026</v>
      </c>
      <c r="B680">
        <v>4</v>
      </c>
      <c r="D680" t="s">
        <v>368</v>
      </c>
      <c r="E680" s="3">
        <v>0</v>
      </c>
    </row>
    <row r="681" spans="1:5" x14ac:dyDescent="0.45">
      <c r="A681">
        <v>2026</v>
      </c>
      <c r="B681">
        <v>4</v>
      </c>
      <c r="D681" t="s">
        <v>369</v>
      </c>
      <c r="E681" s="3">
        <v>268856.61</v>
      </c>
    </row>
    <row r="682" spans="1:5" x14ac:dyDescent="0.45">
      <c r="A682">
        <v>2026</v>
      </c>
      <c r="B682">
        <v>4</v>
      </c>
      <c r="D682" t="s">
        <v>370</v>
      </c>
      <c r="E682" s="3">
        <v>416108.64</v>
      </c>
    </row>
    <row r="683" spans="1:5" x14ac:dyDescent="0.45">
      <c r="A683">
        <v>2026</v>
      </c>
      <c r="B683">
        <v>4</v>
      </c>
      <c r="D683" t="s">
        <v>371</v>
      </c>
      <c r="E683" s="3">
        <v>147252.03</v>
      </c>
    </row>
    <row r="684" spans="1:5" x14ac:dyDescent="0.45">
      <c r="A684">
        <v>2026</v>
      </c>
      <c r="B684">
        <v>4</v>
      </c>
      <c r="D684" t="s">
        <v>372</v>
      </c>
      <c r="E684" s="3">
        <v>0</v>
      </c>
    </row>
    <row r="685" spans="1:5" x14ac:dyDescent="0.45">
      <c r="A685">
        <v>2026</v>
      </c>
      <c r="B685">
        <v>4</v>
      </c>
      <c r="D685" t="s">
        <v>373</v>
      </c>
      <c r="E685" s="3">
        <v>1194754.76</v>
      </c>
    </row>
    <row r="686" spans="1:5" x14ac:dyDescent="0.45">
      <c r="A686">
        <v>2026</v>
      </c>
      <c r="B686">
        <v>4</v>
      </c>
      <c r="D686" t="s">
        <v>374</v>
      </c>
      <c r="E686" s="3">
        <v>1342006.79</v>
      </c>
    </row>
    <row r="687" spans="1:5" x14ac:dyDescent="0.45">
      <c r="A687">
        <v>2026</v>
      </c>
      <c r="B687">
        <v>4</v>
      </c>
      <c r="D687" t="s">
        <v>375</v>
      </c>
      <c r="E687" s="3">
        <v>-147252.03</v>
      </c>
    </row>
    <row r="688" spans="1:5" x14ac:dyDescent="0.45">
      <c r="A688">
        <v>2026</v>
      </c>
      <c r="B688">
        <v>5</v>
      </c>
      <c r="C688" s="4">
        <v>60</v>
      </c>
      <c r="D688" t="s">
        <v>50</v>
      </c>
      <c r="E688" s="3">
        <v>66266.149999999994</v>
      </c>
    </row>
    <row r="689" spans="1:5" x14ac:dyDescent="0.45">
      <c r="A689">
        <v>2026</v>
      </c>
      <c r="B689">
        <v>5</v>
      </c>
      <c r="C689" s="4">
        <v>6015</v>
      </c>
      <c r="D689" t="s">
        <v>51</v>
      </c>
      <c r="E689" s="3">
        <v>12053.63</v>
      </c>
    </row>
    <row r="690" spans="1:5" x14ac:dyDescent="0.45">
      <c r="A690">
        <v>2026</v>
      </c>
      <c r="B690">
        <v>5</v>
      </c>
      <c r="C690" s="4">
        <v>601510</v>
      </c>
      <c r="D690" t="s">
        <v>51</v>
      </c>
      <c r="E690" s="3">
        <v>170102.51</v>
      </c>
    </row>
    <row r="691" spans="1:5" x14ac:dyDescent="0.45">
      <c r="A691">
        <v>2026</v>
      </c>
      <c r="B691">
        <v>5</v>
      </c>
      <c r="C691" s="4">
        <v>60151020</v>
      </c>
      <c r="D691" t="s">
        <v>52</v>
      </c>
      <c r="E691" s="3">
        <v>170102.51</v>
      </c>
    </row>
    <row r="692" spans="1:5" x14ac:dyDescent="0.45">
      <c r="A692">
        <v>2026</v>
      </c>
      <c r="B692">
        <v>5</v>
      </c>
      <c r="C692" s="4">
        <v>6015102010</v>
      </c>
      <c r="D692" t="s">
        <v>53</v>
      </c>
      <c r="E692" s="3">
        <v>88079.1</v>
      </c>
    </row>
    <row r="693" spans="1:5" x14ac:dyDescent="0.45">
      <c r="A693">
        <v>2026</v>
      </c>
      <c r="B693">
        <v>5</v>
      </c>
      <c r="C693" s="4">
        <v>6015102015</v>
      </c>
      <c r="D693" t="s">
        <v>54</v>
      </c>
      <c r="E693" s="3">
        <v>54585.24</v>
      </c>
    </row>
    <row r="694" spans="1:5" x14ac:dyDescent="0.45">
      <c r="A694">
        <v>2026</v>
      </c>
      <c r="B694">
        <v>5</v>
      </c>
      <c r="C694" s="4">
        <v>6015102050</v>
      </c>
      <c r="D694" t="s">
        <v>55</v>
      </c>
      <c r="E694" s="3">
        <v>26162.17</v>
      </c>
    </row>
    <row r="695" spans="1:5" x14ac:dyDescent="0.45">
      <c r="A695">
        <v>2026</v>
      </c>
      <c r="B695">
        <v>5</v>
      </c>
      <c r="C695" s="4">
        <v>6015102051</v>
      </c>
      <c r="D695" t="s">
        <v>56</v>
      </c>
      <c r="E695" s="3">
        <v>1276</v>
      </c>
    </row>
    <row r="696" spans="1:5" x14ac:dyDescent="0.45">
      <c r="A696">
        <v>2026</v>
      </c>
      <c r="B696">
        <v>5</v>
      </c>
      <c r="C696" s="4">
        <v>601515</v>
      </c>
      <c r="D696" t="s">
        <v>57</v>
      </c>
      <c r="E696" s="3">
        <v>-158048.88</v>
      </c>
    </row>
    <row r="697" spans="1:5" x14ac:dyDescent="0.45">
      <c r="A697">
        <v>2026</v>
      </c>
      <c r="B697">
        <v>5</v>
      </c>
      <c r="C697" s="4">
        <v>60151520</v>
      </c>
      <c r="D697" t="s">
        <v>58</v>
      </c>
      <c r="E697" s="3">
        <v>-158048.88</v>
      </c>
    </row>
    <row r="698" spans="1:5" x14ac:dyDescent="0.45">
      <c r="A698">
        <v>2026</v>
      </c>
      <c r="B698">
        <v>5</v>
      </c>
      <c r="C698" s="4">
        <v>6015152010</v>
      </c>
      <c r="D698" t="s">
        <v>59</v>
      </c>
      <c r="E698" s="3">
        <v>-88079.1</v>
      </c>
    </row>
    <row r="699" spans="1:5" x14ac:dyDescent="0.45">
      <c r="A699">
        <v>2026</v>
      </c>
      <c r="B699">
        <v>5</v>
      </c>
      <c r="C699" s="4">
        <v>6015152012</v>
      </c>
      <c r="D699" t="s">
        <v>60</v>
      </c>
      <c r="E699" s="3">
        <v>-43790.79</v>
      </c>
    </row>
    <row r="700" spans="1:5" x14ac:dyDescent="0.45">
      <c r="A700">
        <v>2026</v>
      </c>
      <c r="B700">
        <v>5</v>
      </c>
      <c r="C700" s="4">
        <v>6015152050</v>
      </c>
      <c r="D700" t="s">
        <v>61</v>
      </c>
      <c r="E700" s="3">
        <v>-24902.99</v>
      </c>
    </row>
    <row r="701" spans="1:5" x14ac:dyDescent="0.45">
      <c r="A701">
        <v>2026</v>
      </c>
      <c r="B701">
        <v>5</v>
      </c>
      <c r="C701" s="4">
        <v>6015152051</v>
      </c>
      <c r="D701" t="s">
        <v>62</v>
      </c>
      <c r="E701" s="3">
        <v>-1276</v>
      </c>
    </row>
    <row r="702" spans="1:5" x14ac:dyDescent="0.45">
      <c r="A702">
        <v>2026</v>
      </c>
      <c r="B702">
        <v>5</v>
      </c>
      <c r="C702" s="4">
        <v>6020</v>
      </c>
      <c r="D702" t="s">
        <v>63</v>
      </c>
      <c r="E702" s="3">
        <v>8620.0499999999993</v>
      </c>
    </row>
    <row r="703" spans="1:5" x14ac:dyDescent="0.45">
      <c r="A703">
        <v>2026</v>
      </c>
      <c r="B703">
        <v>5</v>
      </c>
      <c r="C703" s="4">
        <v>602010</v>
      </c>
      <c r="D703" t="s">
        <v>63</v>
      </c>
      <c r="E703" s="3">
        <v>25259.27</v>
      </c>
    </row>
    <row r="704" spans="1:5" x14ac:dyDescent="0.45">
      <c r="A704">
        <v>2026</v>
      </c>
      <c r="B704">
        <v>5</v>
      </c>
      <c r="C704" s="4">
        <v>60201010</v>
      </c>
      <c r="D704" t="s">
        <v>64</v>
      </c>
      <c r="E704" s="3">
        <v>25259.27</v>
      </c>
    </row>
    <row r="705" spans="1:5" x14ac:dyDescent="0.45">
      <c r="A705">
        <v>2026</v>
      </c>
      <c r="B705">
        <v>5</v>
      </c>
      <c r="C705" s="4">
        <v>6020101050</v>
      </c>
      <c r="D705" t="s">
        <v>65</v>
      </c>
      <c r="E705" s="3">
        <v>750.71</v>
      </c>
    </row>
    <row r="706" spans="1:5" x14ac:dyDescent="0.45">
      <c r="A706">
        <v>2026</v>
      </c>
      <c r="B706">
        <v>5</v>
      </c>
      <c r="C706" s="4">
        <v>6020101051</v>
      </c>
      <c r="D706" t="s">
        <v>66</v>
      </c>
      <c r="E706" s="3">
        <v>5384.4</v>
      </c>
    </row>
    <row r="707" spans="1:5" x14ac:dyDescent="0.45">
      <c r="A707">
        <v>2026</v>
      </c>
      <c r="B707">
        <v>5</v>
      </c>
      <c r="C707" s="4">
        <v>6020101052</v>
      </c>
      <c r="D707" t="s">
        <v>67</v>
      </c>
      <c r="E707" s="3">
        <v>374.93</v>
      </c>
    </row>
    <row r="708" spans="1:5" x14ac:dyDescent="0.45">
      <c r="A708">
        <v>2026</v>
      </c>
      <c r="B708">
        <v>5</v>
      </c>
      <c r="C708" s="4">
        <v>6020101053</v>
      </c>
      <c r="D708" t="s">
        <v>68</v>
      </c>
      <c r="E708" s="3">
        <v>18749.23</v>
      </c>
    </row>
    <row r="709" spans="1:5" x14ac:dyDescent="0.45">
      <c r="A709">
        <v>2026</v>
      </c>
      <c r="B709">
        <v>5</v>
      </c>
      <c r="C709" s="4">
        <v>602015</v>
      </c>
      <c r="D709" t="s">
        <v>69</v>
      </c>
      <c r="E709" s="3">
        <v>-16639.22</v>
      </c>
    </row>
    <row r="710" spans="1:5" x14ac:dyDescent="0.45">
      <c r="A710">
        <v>2026</v>
      </c>
      <c r="B710">
        <v>5</v>
      </c>
      <c r="C710" s="4">
        <v>60201510</v>
      </c>
      <c r="D710" t="s">
        <v>70</v>
      </c>
      <c r="E710" s="3">
        <v>-16639.22</v>
      </c>
    </row>
    <row r="711" spans="1:5" x14ac:dyDescent="0.45">
      <c r="A711">
        <v>2026</v>
      </c>
      <c r="B711">
        <v>5</v>
      </c>
      <c r="C711" s="4">
        <v>6020151050</v>
      </c>
      <c r="D711" t="s">
        <v>71</v>
      </c>
      <c r="E711" s="3">
        <v>-750.71</v>
      </c>
    </row>
    <row r="712" spans="1:5" x14ac:dyDescent="0.45">
      <c r="A712">
        <v>2026</v>
      </c>
      <c r="B712">
        <v>5</v>
      </c>
      <c r="C712" s="4">
        <v>6020151051</v>
      </c>
      <c r="D712" t="s">
        <v>72</v>
      </c>
      <c r="E712" s="3">
        <v>-5384.4</v>
      </c>
    </row>
    <row r="713" spans="1:5" x14ac:dyDescent="0.45">
      <c r="A713">
        <v>2026</v>
      </c>
      <c r="B713">
        <v>5</v>
      </c>
      <c r="C713" s="4">
        <v>6020151052</v>
      </c>
      <c r="D713" t="s">
        <v>73</v>
      </c>
      <c r="E713" s="3">
        <v>-374.93</v>
      </c>
    </row>
    <row r="714" spans="1:5" x14ac:dyDescent="0.45">
      <c r="A714">
        <v>2026</v>
      </c>
      <c r="B714">
        <v>5</v>
      </c>
      <c r="C714" s="4">
        <v>6020151053</v>
      </c>
      <c r="D714" t="s">
        <v>74</v>
      </c>
      <c r="E714" s="3">
        <v>-10129.18</v>
      </c>
    </row>
    <row r="715" spans="1:5" x14ac:dyDescent="0.45">
      <c r="A715">
        <v>2026</v>
      </c>
      <c r="B715">
        <v>5</v>
      </c>
      <c r="C715" s="4">
        <v>6025</v>
      </c>
      <c r="D715" t="s">
        <v>75</v>
      </c>
      <c r="E715" s="3">
        <v>45592.47</v>
      </c>
    </row>
    <row r="716" spans="1:5" x14ac:dyDescent="0.45">
      <c r="A716">
        <v>2026</v>
      </c>
      <c r="B716">
        <v>5</v>
      </c>
      <c r="C716" s="4">
        <v>602510</v>
      </c>
      <c r="D716" t="s">
        <v>75</v>
      </c>
      <c r="E716" s="3">
        <v>464489.53</v>
      </c>
    </row>
    <row r="717" spans="1:5" x14ac:dyDescent="0.45">
      <c r="A717">
        <v>2026</v>
      </c>
      <c r="B717">
        <v>5</v>
      </c>
      <c r="C717" s="4">
        <v>60251010</v>
      </c>
      <c r="D717" t="s">
        <v>76</v>
      </c>
      <c r="E717" s="3">
        <v>352014.48</v>
      </c>
    </row>
    <row r="718" spans="1:5" x14ac:dyDescent="0.45">
      <c r="A718">
        <v>2026</v>
      </c>
      <c r="B718">
        <v>5</v>
      </c>
      <c r="C718" s="4">
        <v>6025101010</v>
      </c>
      <c r="D718" t="s">
        <v>76</v>
      </c>
      <c r="E718" s="3">
        <v>99206.03</v>
      </c>
    </row>
    <row r="719" spans="1:5" x14ac:dyDescent="0.45">
      <c r="A719">
        <v>2026</v>
      </c>
      <c r="B719">
        <v>5</v>
      </c>
      <c r="C719" s="4">
        <v>6025101050</v>
      </c>
      <c r="D719" t="s">
        <v>77</v>
      </c>
      <c r="E719" s="3">
        <v>88188.1</v>
      </c>
    </row>
    <row r="720" spans="1:5" x14ac:dyDescent="0.45">
      <c r="A720">
        <v>2026</v>
      </c>
      <c r="B720">
        <v>5</v>
      </c>
      <c r="C720" s="4">
        <v>6025101051</v>
      </c>
      <c r="D720" t="s">
        <v>78</v>
      </c>
      <c r="E720" s="3">
        <v>164620.35</v>
      </c>
    </row>
    <row r="721" spans="1:5" x14ac:dyDescent="0.45">
      <c r="A721">
        <v>2026</v>
      </c>
      <c r="B721">
        <v>5</v>
      </c>
      <c r="C721" s="4">
        <v>60251015</v>
      </c>
      <c r="D721" t="s">
        <v>75</v>
      </c>
      <c r="E721" s="3">
        <v>112475.05</v>
      </c>
    </row>
    <row r="722" spans="1:5" x14ac:dyDescent="0.45">
      <c r="A722">
        <v>2026</v>
      </c>
      <c r="B722">
        <v>5</v>
      </c>
      <c r="C722" s="4">
        <v>6025101510</v>
      </c>
      <c r="D722" t="s">
        <v>79</v>
      </c>
      <c r="E722" s="3">
        <v>41411.339999999997</v>
      </c>
    </row>
    <row r="723" spans="1:5" x14ac:dyDescent="0.45">
      <c r="A723">
        <v>2026</v>
      </c>
      <c r="B723">
        <v>5</v>
      </c>
      <c r="C723" s="4">
        <v>6025101550</v>
      </c>
      <c r="D723" t="s">
        <v>80</v>
      </c>
      <c r="E723" s="3">
        <v>16241.27</v>
      </c>
    </row>
    <row r="724" spans="1:5" x14ac:dyDescent="0.45">
      <c r="A724">
        <v>2026</v>
      </c>
      <c r="B724">
        <v>5</v>
      </c>
      <c r="C724" s="4">
        <v>6025101553</v>
      </c>
      <c r="D724" t="s">
        <v>81</v>
      </c>
      <c r="E724" s="3">
        <v>48759.14</v>
      </c>
    </row>
    <row r="725" spans="1:5" x14ac:dyDescent="0.45">
      <c r="A725">
        <v>2026</v>
      </c>
      <c r="B725">
        <v>5</v>
      </c>
      <c r="C725" s="4">
        <v>6025101554</v>
      </c>
      <c r="D725" t="s">
        <v>82</v>
      </c>
      <c r="E725" s="3">
        <v>2198.3000000000002</v>
      </c>
    </row>
    <row r="726" spans="1:5" x14ac:dyDescent="0.45">
      <c r="A726">
        <v>2026</v>
      </c>
      <c r="B726">
        <v>5</v>
      </c>
      <c r="C726" s="4">
        <v>6025101555</v>
      </c>
      <c r="D726" t="s">
        <v>83</v>
      </c>
      <c r="E726" s="3">
        <v>3000</v>
      </c>
    </row>
    <row r="727" spans="1:5" x14ac:dyDescent="0.45">
      <c r="A727">
        <v>2026</v>
      </c>
      <c r="B727">
        <v>5</v>
      </c>
      <c r="C727" s="4">
        <v>6025101556</v>
      </c>
      <c r="D727" t="s">
        <v>84</v>
      </c>
      <c r="E727" s="3">
        <v>865</v>
      </c>
    </row>
    <row r="728" spans="1:5" x14ac:dyDescent="0.45">
      <c r="A728">
        <v>2026</v>
      </c>
      <c r="B728">
        <v>5</v>
      </c>
      <c r="C728" s="4">
        <v>602515</v>
      </c>
      <c r="D728" t="s">
        <v>85</v>
      </c>
      <c r="E728" s="3">
        <v>-418897.06</v>
      </c>
    </row>
    <row r="729" spans="1:5" x14ac:dyDescent="0.45">
      <c r="A729">
        <v>2026</v>
      </c>
      <c r="B729">
        <v>5</v>
      </c>
      <c r="C729" s="4">
        <v>60251510</v>
      </c>
      <c r="D729" t="s">
        <v>86</v>
      </c>
      <c r="E729" s="3">
        <v>-314208.65999999997</v>
      </c>
    </row>
    <row r="730" spans="1:5" x14ac:dyDescent="0.45">
      <c r="A730">
        <v>2026</v>
      </c>
      <c r="B730">
        <v>5</v>
      </c>
      <c r="C730" s="4">
        <v>6025151010</v>
      </c>
      <c r="D730" t="s">
        <v>86</v>
      </c>
      <c r="E730" s="3">
        <v>-68962.990000000005</v>
      </c>
    </row>
    <row r="731" spans="1:5" x14ac:dyDescent="0.45">
      <c r="A731">
        <v>2026</v>
      </c>
      <c r="B731">
        <v>5</v>
      </c>
      <c r="C731" s="4">
        <v>6025151050</v>
      </c>
      <c r="D731" t="s">
        <v>87</v>
      </c>
      <c r="E731" s="3">
        <v>-80625.320000000007</v>
      </c>
    </row>
    <row r="732" spans="1:5" x14ac:dyDescent="0.45">
      <c r="A732">
        <v>2026</v>
      </c>
      <c r="B732">
        <v>5</v>
      </c>
      <c r="C732" s="4">
        <v>6025151051</v>
      </c>
      <c r="D732" t="s">
        <v>88</v>
      </c>
      <c r="E732" s="3">
        <v>-164620.35</v>
      </c>
    </row>
    <row r="733" spans="1:5" x14ac:dyDescent="0.45">
      <c r="A733">
        <v>2026</v>
      </c>
      <c r="B733">
        <v>5</v>
      </c>
      <c r="C733" s="4">
        <v>60251515</v>
      </c>
      <c r="D733" t="s">
        <v>89</v>
      </c>
      <c r="E733" s="3">
        <v>-102490.1</v>
      </c>
    </row>
    <row r="734" spans="1:5" x14ac:dyDescent="0.45">
      <c r="A734">
        <v>2026</v>
      </c>
      <c r="B734">
        <v>5</v>
      </c>
      <c r="C734" s="4">
        <v>6025151510</v>
      </c>
      <c r="D734" t="s">
        <v>89</v>
      </c>
      <c r="E734" s="3">
        <v>-36844.69</v>
      </c>
    </row>
    <row r="735" spans="1:5" x14ac:dyDescent="0.45">
      <c r="A735">
        <v>2026</v>
      </c>
      <c r="B735">
        <v>5</v>
      </c>
      <c r="C735" s="4">
        <v>6025151550</v>
      </c>
      <c r="D735" t="s">
        <v>90</v>
      </c>
      <c r="E735" s="3">
        <v>-13181.27</v>
      </c>
    </row>
    <row r="736" spans="1:5" x14ac:dyDescent="0.45">
      <c r="A736">
        <v>2026</v>
      </c>
      <c r="B736">
        <v>5</v>
      </c>
      <c r="C736" s="4">
        <v>6025151551</v>
      </c>
      <c r="D736" t="s">
        <v>91</v>
      </c>
      <c r="E736" s="3">
        <v>-48759.14</v>
      </c>
    </row>
    <row r="737" spans="1:5" x14ac:dyDescent="0.45">
      <c r="A737">
        <v>2026</v>
      </c>
      <c r="B737">
        <v>5</v>
      </c>
      <c r="C737" s="4">
        <v>6025151552</v>
      </c>
      <c r="D737" t="s">
        <v>92</v>
      </c>
      <c r="E737" s="3">
        <v>-3000</v>
      </c>
    </row>
    <row r="738" spans="1:5" x14ac:dyDescent="0.45">
      <c r="A738">
        <v>2026</v>
      </c>
      <c r="B738">
        <v>5</v>
      </c>
      <c r="C738" s="4">
        <v>6025151556</v>
      </c>
      <c r="D738" t="s">
        <v>93</v>
      </c>
      <c r="E738" s="3">
        <v>-705</v>
      </c>
    </row>
    <row r="739" spans="1:5" x14ac:dyDescent="0.45">
      <c r="A739">
        <v>2026</v>
      </c>
      <c r="B739">
        <v>5</v>
      </c>
      <c r="C739" s="4">
        <v>60251530</v>
      </c>
      <c r="D739" t="s">
        <v>85</v>
      </c>
      <c r="E739" s="3">
        <v>-2198.3000000000002</v>
      </c>
    </row>
    <row r="740" spans="1:5" x14ac:dyDescent="0.45">
      <c r="A740">
        <v>2026</v>
      </c>
      <c r="B740">
        <v>5</v>
      </c>
      <c r="C740" s="4">
        <v>6025153050</v>
      </c>
      <c r="D740" t="s">
        <v>94</v>
      </c>
      <c r="E740" s="3">
        <v>-2198.3000000000002</v>
      </c>
    </row>
    <row r="741" spans="1:5" x14ac:dyDescent="0.45">
      <c r="A741">
        <v>2026</v>
      </c>
      <c r="B741">
        <v>5</v>
      </c>
      <c r="C741" s="4">
        <v>90</v>
      </c>
      <c r="D741" t="s">
        <v>95</v>
      </c>
      <c r="E741" s="3">
        <v>53101.22</v>
      </c>
    </row>
    <row r="742" spans="1:5" x14ac:dyDescent="0.45">
      <c r="A742">
        <v>2026</v>
      </c>
      <c r="B742">
        <v>5</v>
      </c>
      <c r="C742" s="4">
        <v>9025</v>
      </c>
      <c r="D742" t="s">
        <v>96</v>
      </c>
      <c r="E742" s="3">
        <v>43172.42</v>
      </c>
    </row>
    <row r="743" spans="1:5" x14ac:dyDescent="0.45">
      <c r="A743">
        <v>2026</v>
      </c>
      <c r="B743">
        <v>5</v>
      </c>
      <c r="C743" s="4">
        <v>902510</v>
      </c>
      <c r="D743" t="s">
        <v>96</v>
      </c>
      <c r="E743" s="3">
        <v>43172.42</v>
      </c>
    </row>
    <row r="744" spans="1:5" x14ac:dyDescent="0.45">
      <c r="A744">
        <v>2026</v>
      </c>
      <c r="B744">
        <v>5</v>
      </c>
      <c r="C744" s="4">
        <v>90251010</v>
      </c>
      <c r="D744" t="s">
        <v>97</v>
      </c>
      <c r="E744" s="3">
        <v>4020.84</v>
      </c>
    </row>
    <row r="745" spans="1:5" x14ac:dyDescent="0.45">
      <c r="A745">
        <v>2026</v>
      </c>
      <c r="B745">
        <v>5</v>
      </c>
      <c r="C745" s="4">
        <v>90251051</v>
      </c>
      <c r="D745" t="s">
        <v>98</v>
      </c>
      <c r="E745" s="3">
        <v>39151.58</v>
      </c>
    </row>
    <row r="746" spans="1:5" x14ac:dyDescent="0.45">
      <c r="A746">
        <v>2026</v>
      </c>
      <c r="B746">
        <v>5</v>
      </c>
      <c r="C746" s="4">
        <v>9030</v>
      </c>
      <c r="D746" t="s">
        <v>99</v>
      </c>
      <c r="E746" s="3">
        <v>9928.7999999999993</v>
      </c>
    </row>
    <row r="747" spans="1:5" x14ac:dyDescent="0.45">
      <c r="A747">
        <v>2026</v>
      </c>
      <c r="B747">
        <v>5</v>
      </c>
      <c r="C747" s="4">
        <v>903010</v>
      </c>
      <c r="D747" t="s">
        <v>99</v>
      </c>
      <c r="E747" s="3">
        <v>9928.7999999999993</v>
      </c>
    </row>
    <row r="748" spans="1:5" x14ac:dyDescent="0.45">
      <c r="A748">
        <v>2026</v>
      </c>
      <c r="B748">
        <v>5</v>
      </c>
      <c r="C748" s="4">
        <v>90301015</v>
      </c>
      <c r="D748" t="s">
        <v>100</v>
      </c>
      <c r="E748" s="3">
        <v>9928.7999999999993</v>
      </c>
    </row>
    <row r="749" spans="1:5" x14ac:dyDescent="0.45">
      <c r="A749">
        <v>2026</v>
      </c>
      <c r="B749">
        <v>5</v>
      </c>
      <c r="C749" s="4">
        <v>100</v>
      </c>
      <c r="D749" t="s">
        <v>101</v>
      </c>
      <c r="E749" s="3">
        <v>364594.08</v>
      </c>
    </row>
    <row r="750" spans="1:5" x14ac:dyDescent="0.45">
      <c r="A750">
        <v>2026</v>
      </c>
      <c r="B750">
        <v>5</v>
      </c>
      <c r="C750" s="4">
        <v>10010</v>
      </c>
      <c r="D750" t="s">
        <v>102</v>
      </c>
      <c r="E750" s="3">
        <v>21450.65</v>
      </c>
    </row>
    <row r="751" spans="1:5" x14ac:dyDescent="0.45">
      <c r="A751">
        <v>2026</v>
      </c>
      <c r="B751">
        <v>5</v>
      </c>
      <c r="C751" s="4">
        <v>1001010</v>
      </c>
      <c r="D751" t="s">
        <v>103</v>
      </c>
      <c r="E751" s="3">
        <v>21450.65</v>
      </c>
    </row>
    <row r="752" spans="1:5" x14ac:dyDescent="0.45">
      <c r="A752">
        <v>2026</v>
      </c>
      <c r="B752">
        <v>5</v>
      </c>
      <c r="C752" s="4">
        <v>100101003</v>
      </c>
      <c r="D752" t="s">
        <v>104</v>
      </c>
      <c r="E752" s="3">
        <v>8540</v>
      </c>
    </row>
    <row r="753" spans="1:5" x14ac:dyDescent="0.45">
      <c r="A753">
        <v>2026</v>
      </c>
      <c r="B753">
        <v>5</v>
      </c>
      <c r="C753" s="4">
        <v>100101015</v>
      </c>
      <c r="D753" t="s">
        <v>105</v>
      </c>
      <c r="E753" s="3">
        <v>12910.65</v>
      </c>
    </row>
    <row r="754" spans="1:5" x14ac:dyDescent="0.45">
      <c r="A754">
        <v>2026</v>
      </c>
      <c r="B754">
        <v>5</v>
      </c>
      <c r="C754" s="4">
        <v>10030</v>
      </c>
      <c r="D754" t="s">
        <v>106</v>
      </c>
      <c r="E754" s="3">
        <v>343143.43</v>
      </c>
    </row>
    <row r="755" spans="1:5" x14ac:dyDescent="0.45">
      <c r="A755">
        <v>2026</v>
      </c>
      <c r="B755">
        <v>5</v>
      </c>
      <c r="C755" s="4">
        <v>1003010</v>
      </c>
      <c r="D755" t="s">
        <v>107</v>
      </c>
      <c r="E755" s="3">
        <v>343143.43</v>
      </c>
    </row>
    <row r="756" spans="1:5" x14ac:dyDescent="0.45">
      <c r="A756">
        <v>2026</v>
      </c>
      <c r="B756">
        <v>5</v>
      </c>
      <c r="C756" s="4">
        <v>100301003</v>
      </c>
      <c r="D756" t="s">
        <v>108</v>
      </c>
      <c r="E756" s="3">
        <v>1251.56</v>
      </c>
    </row>
    <row r="757" spans="1:5" x14ac:dyDescent="0.45">
      <c r="A757">
        <v>2026</v>
      </c>
      <c r="B757">
        <v>5</v>
      </c>
      <c r="C757" s="4">
        <v>10030100310</v>
      </c>
      <c r="D757" t="s">
        <v>109</v>
      </c>
      <c r="E757" s="3">
        <v>1251.56</v>
      </c>
    </row>
    <row r="758" spans="1:5" x14ac:dyDescent="0.45">
      <c r="A758">
        <v>2026</v>
      </c>
      <c r="B758">
        <v>5</v>
      </c>
      <c r="C758" s="4">
        <v>100301019</v>
      </c>
      <c r="D758" t="s">
        <v>110</v>
      </c>
      <c r="E758" s="3">
        <v>3118.13</v>
      </c>
    </row>
    <row r="759" spans="1:5" x14ac:dyDescent="0.45">
      <c r="A759">
        <v>2026</v>
      </c>
      <c r="B759">
        <v>5</v>
      </c>
      <c r="C759" s="4">
        <v>100301021</v>
      </c>
      <c r="D759" t="s">
        <v>111</v>
      </c>
      <c r="E759" s="3">
        <v>2180</v>
      </c>
    </row>
    <row r="760" spans="1:5" x14ac:dyDescent="0.45">
      <c r="A760">
        <v>2026</v>
      </c>
      <c r="B760">
        <v>5</v>
      </c>
      <c r="C760" s="4">
        <v>100301027</v>
      </c>
      <c r="D760" t="s">
        <v>112</v>
      </c>
      <c r="E760" s="3">
        <v>323932.5</v>
      </c>
    </row>
    <row r="761" spans="1:5" x14ac:dyDescent="0.45">
      <c r="A761">
        <v>2026</v>
      </c>
      <c r="B761">
        <v>5</v>
      </c>
      <c r="C761" s="4">
        <v>10030102721</v>
      </c>
      <c r="D761" t="s">
        <v>113</v>
      </c>
      <c r="E761" s="3">
        <v>8077.86</v>
      </c>
    </row>
    <row r="762" spans="1:5" x14ac:dyDescent="0.45">
      <c r="A762">
        <v>2026</v>
      </c>
      <c r="B762">
        <v>5</v>
      </c>
      <c r="C762" s="4">
        <v>10030102751</v>
      </c>
      <c r="D762" t="s">
        <v>114</v>
      </c>
      <c r="E762" s="3">
        <v>315564.48</v>
      </c>
    </row>
    <row r="763" spans="1:5" x14ac:dyDescent="0.45">
      <c r="A763">
        <v>2026</v>
      </c>
      <c r="B763">
        <v>5</v>
      </c>
      <c r="C763" s="4">
        <v>10030102752</v>
      </c>
      <c r="D763" t="s">
        <v>115</v>
      </c>
      <c r="E763" s="3">
        <v>290.16000000000003</v>
      </c>
    </row>
    <row r="764" spans="1:5" x14ac:dyDescent="0.45">
      <c r="A764">
        <v>2026</v>
      </c>
      <c r="B764">
        <v>5</v>
      </c>
      <c r="C764" s="4">
        <v>100301050</v>
      </c>
      <c r="D764" t="s">
        <v>116</v>
      </c>
      <c r="E764" s="3">
        <v>241.44</v>
      </c>
    </row>
    <row r="765" spans="1:5" x14ac:dyDescent="0.45">
      <c r="A765">
        <v>2026</v>
      </c>
      <c r="B765">
        <v>5</v>
      </c>
      <c r="C765" s="4">
        <v>100301051</v>
      </c>
      <c r="D765" t="s">
        <v>117</v>
      </c>
      <c r="E765" s="3">
        <v>619.79999999999995</v>
      </c>
    </row>
    <row r="766" spans="1:5" x14ac:dyDescent="0.45">
      <c r="A766">
        <v>2026</v>
      </c>
      <c r="B766">
        <v>5</v>
      </c>
      <c r="C766" s="4">
        <v>100301052</v>
      </c>
      <c r="D766" t="s">
        <v>118</v>
      </c>
      <c r="E766" s="3">
        <v>11800</v>
      </c>
    </row>
    <row r="767" spans="1:5" x14ac:dyDescent="0.45">
      <c r="A767">
        <v>2026</v>
      </c>
      <c r="B767">
        <v>5</v>
      </c>
      <c r="C767" s="4">
        <v>120</v>
      </c>
      <c r="D767" t="s">
        <v>119</v>
      </c>
      <c r="E767" s="3">
        <v>-230012.47</v>
      </c>
    </row>
    <row r="768" spans="1:5" x14ac:dyDescent="0.45">
      <c r="A768">
        <v>2026</v>
      </c>
      <c r="B768">
        <v>5</v>
      </c>
      <c r="C768" s="4">
        <v>12010</v>
      </c>
      <c r="D768" t="s">
        <v>120</v>
      </c>
      <c r="E768" s="3">
        <v>-231083.32</v>
      </c>
    </row>
    <row r="769" spans="1:5" x14ac:dyDescent="0.45">
      <c r="A769">
        <v>2026</v>
      </c>
      <c r="B769">
        <v>5</v>
      </c>
      <c r="C769" s="4">
        <v>1201015</v>
      </c>
      <c r="D769" t="s">
        <v>121</v>
      </c>
      <c r="E769" s="3">
        <v>-174631.07</v>
      </c>
    </row>
    <row r="770" spans="1:5" x14ac:dyDescent="0.45">
      <c r="A770">
        <v>2026</v>
      </c>
      <c r="B770">
        <v>5</v>
      </c>
      <c r="C770" s="4">
        <v>1201020</v>
      </c>
      <c r="D770" t="s">
        <v>122</v>
      </c>
      <c r="E770" s="3">
        <v>-56452.25</v>
      </c>
    </row>
    <row r="771" spans="1:5" x14ac:dyDescent="0.45">
      <c r="A771">
        <v>2026</v>
      </c>
      <c r="B771">
        <v>5</v>
      </c>
      <c r="C771" s="4">
        <v>12020</v>
      </c>
      <c r="D771" t="s">
        <v>123</v>
      </c>
      <c r="E771" s="3">
        <v>1070.8499999999999</v>
      </c>
    </row>
    <row r="772" spans="1:5" x14ac:dyDescent="0.45">
      <c r="A772">
        <v>2026</v>
      </c>
      <c r="B772">
        <v>5</v>
      </c>
      <c r="C772" s="4">
        <v>1202010</v>
      </c>
      <c r="D772" t="s">
        <v>124</v>
      </c>
      <c r="E772" s="3">
        <v>1027.3499999999999</v>
      </c>
    </row>
    <row r="773" spans="1:5" x14ac:dyDescent="0.45">
      <c r="A773">
        <v>2026</v>
      </c>
      <c r="B773">
        <v>5</v>
      </c>
      <c r="C773" s="4">
        <v>1202015</v>
      </c>
      <c r="D773" t="s">
        <v>125</v>
      </c>
      <c r="E773" s="3">
        <v>43.5</v>
      </c>
    </row>
    <row r="774" spans="1:5" x14ac:dyDescent="0.45">
      <c r="A774">
        <v>2026</v>
      </c>
      <c r="B774">
        <v>5</v>
      </c>
      <c r="C774" s="4">
        <v>140</v>
      </c>
      <c r="D774" t="s">
        <v>126</v>
      </c>
      <c r="E774" s="3">
        <v>14907.63</v>
      </c>
    </row>
    <row r="775" spans="1:5" x14ac:dyDescent="0.45">
      <c r="A775">
        <v>2026</v>
      </c>
      <c r="B775">
        <v>5</v>
      </c>
      <c r="C775" s="4">
        <v>14015</v>
      </c>
      <c r="D775" t="s">
        <v>127</v>
      </c>
      <c r="E775" s="3">
        <v>14907.63</v>
      </c>
    </row>
    <row r="776" spans="1:5" x14ac:dyDescent="0.45">
      <c r="A776">
        <v>2026</v>
      </c>
      <c r="B776">
        <v>5</v>
      </c>
      <c r="C776" s="4">
        <v>1401510</v>
      </c>
      <c r="D776" t="s">
        <v>127</v>
      </c>
      <c r="E776" s="3">
        <v>14907.63</v>
      </c>
    </row>
    <row r="777" spans="1:5" x14ac:dyDescent="0.45">
      <c r="A777">
        <v>2026</v>
      </c>
      <c r="B777">
        <v>5</v>
      </c>
      <c r="C777" s="4">
        <v>170</v>
      </c>
      <c r="D777" t="s">
        <v>128</v>
      </c>
      <c r="E777" s="3">
        <v>5500</v>
      </c>
    </row>
    <row r="778" spans="1:5" x14ac:dyDescent="0.45">
      <c r="A778">
        <v>2026</v>
      </c>
      <c r="B778">
        <v>5</v>
      </c>
      <c r="C778" s="4">
        <v>17050</v>
      </c>
      <c r="D778" t="s">
        <v>129</v>
      </c>
      <c r="E778" s="3">
        <v>5500</v>
      </c>
    </row>
    <row r="779" spans="1:5" x14ac:dyDescent="0.45">
      <c r="A779">
        <v>2026</v>
      </c>
      <c r="B779">
        <v>5</v>
      </c>
      <c r="C779" s="4">
        <v>240</v>
      </c>
      <c r="D779" t="s">
        <v>130</v>
      </c>
      <c r="E779" s="3">
        <v>-8922.24</v>
      </c>
    </row>
    <row r="780" spans="1:5" x14ac:dyDescent="0.45">
      <c r="A780">
        <v>2026</v>
      </c>
      <c r="B780">
        <v>5</v>
      </c>
      <c r="C780" s="4">
        <v>24015</v>
      </c>
      <c r="D780" t="s">
        <v>131</v>
      </c>
      <c r="E780" s="3">
        <v>-8922.24</v>
      </c>
    </row>
    <row r="781" spans="1:5" x14ac:dyDescent="0.45">
      <c r="A781">
        <v>2026</v>
      </c>
      <c r="B781">
        <v>5</v>
      </c>
      <c r="C781" s="4">
        <v>300</v>
      </c>
      <c r="D781" t="s">
        <v>132</v>
      </c>
      <c r="E781" s="3">
        <v>51275.62</v>
      </c>
    </row>
    <row r="782" spans="1:5" x14ac:dyDescent="0.45">
      <c r="A782">
        <v>2026</v>
      </c>
      <c r="B782">
        <v>5</v>
      </c>
      <c r="C782" s="4">
        <v>30010</v>
      </c>
      <c r="D782" t="s">
        <v>133</v>
      </c>
      <c r="E782" s="3">
        <v>51275.62</v>
      </c>
    </row>
    <row r="783" spans="1:5" x14ac:dyDescent="0.45">
      <c r="A783">
        <v>2026</v>
      </c>
      <c r="B783">
        <v>5</v>
      </c>
      <c r="C783" s="4">
        <v>360</v>
      </c>
      <c r="D783" t="s">
        <v>134</v>
      </c>
      <c r="E783" s="3">
        <v>6301.1</v>
      </c>
    </row>
    <row r="784" spans="1:5" x14ac:dyDescent="0.45">
      <c r="A784">
        <v>2026</v>
      </c>
      <c r="B784">
        <v>5</v>
      </c>
      <c r="C784" s="4">
        <v>36010</v>
      </c>
      <c r="D784" t="s">
        <v>135</v>
      </c>
      <c r="E784" s="3">
        <v>6301.1</v>
      </c>
    </row>
    <row r="785" spans="1:5" x14ac:dyDescent="0.45">
      <c r="A785">
        <v>2026</v>
      </c>
      <c r="B785">
        <v>5</v>
      </c>
      <c r="C785" s="4">
        <v>3601090</v>
      </c>
      <c r="D785" t="s">
        <v>136</v>
      </c>
      <c r="E785" s="3">
        <v>6301.1</v>
      </c>
    </row>
    <row r="786" spans="1:5" x14ac:dyDescent="0.45">
      <c r="A786">
        <v>2026</v>
      </c>
      <c r="B786">
        <v>5</v>
      </c>
      <c r="C786" s="4">
        <v>390</v>
      </c>
      <c r="D786" t="s">
        <v>137</v>
      </c>
      <c r="E786" s="3">
        <v>226477.54</v>
      </c>
    </row>
    <row r="787" spans="1:5" x14ac:dyDescent="0.45">
      <c r="A787">
        <v>2026</v>
      </c>
      <c r="B787">
        <v>5</v>
      </c>
      <c r="C787" s="4">
        <v>39010</v>
      </c>
      <c r="D787" t="s">
        <v>138</v>
      </c>
      <c r="E787" s="3">
        <v>226477.54</v>
      </c>
    </row>
    <row r="788" spans="1:5" x14ac:dyDescent="0.45">
      <c r="A788">
        <v>2026</v>
      </c>
      <c r="B788">
        <v>5</v>
      </c>
      <c r="C788" s="4">
        <v>3901010</v>
      </c>
      <c r="D788" t="s">
        <v>139</v>
      </c>
      <c r="E788" s="3">
        <v>151635.15</v>
      </c>
    </row>
    <row r="789" spans="1:5" x14ac:dyDescent="0.45">
      <c r="A789">
        <v>2026</v>
      </c>
      <c r="B789">
        <v>5</v>
      </c>
      <c r="C789" s="4">
        <v>3901015</v>
      </c>
      <c r="D789" t="s">
        <v>140</v>
      </c>
      <c r="E789" s="3">
        <v>74842.39</v>
      </c>
    </row>
    <row r="790" spans="1:5" x14ac:dyDescent="0.45">
      <c r="A790">
        <v>2026</v>
      </c>
      <c r="B790">
        <v>5</v>
      </c>
      <c r="C790" s="4">
        <v>440</v>
      </c>
      <c r="D790" t="s">
        <v>141</v>
      </c>
      <c r="E790" s="3">
        <v>5844.96</v>
      </c>
    </row>
    <row r="791" spans="1:5" x14ac:dyDescent="0.45">
      <c r="A791">
        <v>2026</v>
      </c>
      <c r="B791">
        <v>5</v>
      </c>
      <c r="C791" s="4">
        <v>44010</v>
      </c>
      <c r="D791" t="s">
        <v>141</v>
      </c>
      <c r="E791" s="3">
        <v>5844.96</v>
      </c>
    </row>
    <row r="792" spans="1:5" x14ac:dyDescent="0.45">
      <c r="A792">
        <v>2026</v>
      </c>
      <c r="B792">
        <v>5</v>
      </c>
      <c r="C792" s="4">
        <v>4401015</v>
      </c>
      <c r="D792" t="s">
        <v>142</v>
      </c>
      <c r="E792" s="3">
        <v>-822</v>
      </c>
    </row>
    <row r="793" spans="1:5" x14ac:dyDescent="0.45">
      <c r="A793">
        <v>2026</v>
      </c>
      <c r="B793">
        <v>5</v>
      </c>
      <c r="C793" s="4">
        <v>440101510</v>
      </c>
      <c r="D793" t="s">
        <v>143</v>
      </c>
      <c r="E793" s="3">
        <v>-822</v>
      </c>
    </row>
    <row r="794" spans="1:5" x14ac:dyDescent="0.45">
      <c r="A794">
        <v>2026</v>
      </c>
      <c r="B794">
        <v>5</v>
      </c>
      <c r="C794" s="4">
        <v>4401020</v>
      </c>
      <c r="D794" t="s">
        <v>144</v>
      </c>
      <c r="E794" s="3">
        <v>4604.38</v>
      </c>
    </row>
    <row r="795" spans="1:5" x14ac:dyDescent="0.45">
      <c r="A795">
        <v>2026</v>
      </c>
      <c r="B795">
        <v>5</v>
      </c>
      <c r="C795" s="4">
        <v>440102010</v>
      </c>
      <c r="D795" t="s">
        <v>145</v>
      </c>
      <c r="E795" s="3">
        <v>4200.78</v>
      </c>
    </row>
    <row r="796" spans="1:5" x14ac:dyDescent="0.45">
      <c r="A796">
        <v>2026</v>
      </c>
      <c r="B796">
        <v>5</v>
      </c>
      <c r="C796" s="4">
        <v>440102015</v>
      </c>
      <c r="D796" t="s">
        <v>146</v>
      </c>
      <c r="E796" s="3">
        <v>403.6</v>
      </c>
    </row>
    <row r="797" spans="1:5" x14ac:dyDescent="0.45">
      <c r="A797">
        <v>2026</v>
      </c>
      <c r="B797">
        <v>5</v>
      </c>
      <c r="C797" s="4">
        <v>4401025</v>
      </c>
      <c r="D797" t="s">
        <v>147</v>
      </c>
      <c r="E797" s="3">
        <v>2034.25</v>
      </c>
    </row>
    <row r="798" spans="1:5" x14ac:dyDescent="0.45">
      <c r="A798">
        <v>2026</v>
      </c>
      <c r="B798">
        <v>5</v>
      </c>
      <c r="C798" s="4">
        <v>440102510</v>
      </c>
      <c r="D798" t="s">
        <v>148</v>
      </c>
      <c r="E798" s="3">
        <v>2034.25</v>
      </c>
    </row>
    <row r="799" spans="1:5" x14ac:dyDescent="0.45">
      <c r="A799">
        <v>2026</v>
      </c>
      <c r="B799">
        <v>5</v>
      </c>
      <c r="C799" s="4">
        <v>4401030</v>
      </c>
      <c r="D799" t="s">
        <v>149</v>
      </c>
      <c r="E799" s="3">
        <v>28.33</v>
      </c>
    </row>
    <row r="800" spans="1:5" x14ac:dyDescent="0.45">
      <c r="A800">
        <v>2026</v>
      </c>
      <c r="B800">
        <v>5</v>
      </c>
      <c r="C800" s="4">
        <v>440103040</v>
      </c>
      <c r="D800" t="s">
        <v>150</v>
      </c>
      <c r="E800" s="3">
        <v>28.33</v>
      </c>
    </row>
    <row r="801" spans="1:5" x14ac:dyDescent="0.45">
      <c r="A801">
        <v>2026</v>
      </c>
      <c r="B801">
        <v>5</v>
      </c>
      <c r="C801" s="4">
        <v>450</v>
      </c>
      <c r="D801" t="s">
        <v>151</v>
      </c>
      <c r="E801" s="3">
        <v>12182.73</v>
      </c>
    </row>
    <row r="802" spans="1:5" x14ac:dyDescent="0.45">
      <c r="A802">
        <v>2026</v>
      </c>
      <c r="B802">
        <v>5</v>
      </c>
      <c r="C802" s="4">
        <v>45010</v>
      </c>
      <c r="D802" t="s">
        <v>152</v>
      </c>
      <c r="E802" s="3">
        <v>12182.73</v>
      </c>
    </row>
    <row r="803" spans="1:5" x14ac:dyDescent="0.45">
      <c r="A803">
        <v>2026</v>
      </c>
      <c r="B803">
        <v>5</v>
      </c>
      <c r="C803" s="4">
        <v>4501010</v>
      </c>
      <c r="D803" t="s">
        <v>153</v>
      </c>
      <c r="E803" s="3">
        <v>9627.81</v>
      </c>
    </row>
    <row r="804" spans="1:5" x14ac:dyDescent="0.45">
      <c r="A804">
        <v>2026</v>
      </c>
      <c r="B804">
        <v>5</v>
      </c>
      <c r="C804" s="4">
        <v>4501020</v>
      </c>
      <c r="D804" t="s">
        <v>154</v>
      </c>
      <c r="E804" s="3">
        <v>86.67</v>
      </c>
    </row>
    <row r="805" spans="1:5" x14ac:dyDescent="0.45">
      <c r="A805">
        <v>2026</v>
      </c>
      <c r="B805">
        <v>5</v>
      </c>
      <c r="C805" s="4">
        <v>4501028</v>
      </c>
      <c r="D805" t="s">
        <v>155</v>
      </c>
      <c r="E805" s="3">
        <v>28</v>
      </c>
    </row>
    <row r="806" spans="1:5" x14ac:dyDescent="0.45">
      <c r="A806">
        <v>2026</v>
      </c>
      <c r="B806">
        <v>5</v>
      </c>
      <c r="C806" s="4">
        <v>4501030</v>
      </c>
      <c r="D806" t="s">
        <v>156</v>
      </c>
      <c r="E806" s="3">
        <v>84.55</v>
      </c>
    </row>
    <row r="807" spans="1:5" x14ac:dyDescent="0.45">
      <c r="A807">
        <v>2026</v>
      </c>
      <c r="B807">
        <v>5</v>
      </c>
      <c r="C807" s="4">
        <v>4501054</v>
      </c>
      <c r="D807" t="s">
        <v>157</v>
      </c>
      <c r="E807" s="3">
        <v>2355.6999999999998</v>
      </c>
    </row>
    <row r="808" spans="1:5" x14ac:dyDescent="0.45">
      <c r="A808">
        <v>2026</v>
      </c>
      <c r="B808">
        <v>5</v>
      </c>
      <c r="C808" s="4">
        <v>460</v>
      </c>
      <c r="D808" t="s">
        <v>158</v>
      </c>
      <c r="E808" s="3">
        <v>19824.47</v>
      </c>
    </row>
    <row r="809" spans="1:5" x14ac:dyDescent="0.45">
      <c r="A809">
        <v>2026</v>
      </c>
      <c r="B809">
        <v>5</v>
      </c>
      <c r="C809" s="4">
        <v>46010</v>
      </c>
      <c r="D809" t="s">
        <v>159</v>
      </c>
      <c r="E809" s="3">
        <v>19761.47</v>
      </c>
    </row>
    <row r="810" spans="1:5" x14ac:dyDescent="0.45">
      <c r="A810">
        <v>2026</v>
      </c>
      <c r="B810">
        <v>5</v>
      </c>
      <c r="C810" s="4">
        <v>4601020</v>
      </c>
      <c r="D810" t="s">
        <v>160</v>
      </c>
      <c r="E810" s="3">
        <v>19569.27</v>
      </c>
    </row>
    <row r="811" spans="1:5" x14ac:dyDescent="0.45">
      <c r="A811">
        <v>2026</v>
      </c>
      <c r="B811">
        <v>5</v>
      </c>
      <c r="C811" s="4">
        <v>460102010</v>
      </c>
      <c r="D811" t="s">
        <v>161</v>
      </c>
      <c r="E811" s="3">
        <v>11390</v>
      </c>
    </row>
    <row r="812" spans="1:5" x14ac:dyDescent="0.45">
      <c r="A812">
        <v>2026</v>
      </c>
      <c r="B812">
        <v>5</v>
      </c>
      <c r="C812" s="4">
        <v>460102035</v>
      </c>
      <c r="D812" t="s">
        <v>162</v>
      </c>
      <c r="E812" s="3">
        <v>8179.27</v>
      </c>
    </row>
    <row r="813" spans="1:5" x14ac:dyDescent="0.45">
      <c r="A813">
        <v>2026</v>
      </c>
      <c r="B813">
        <v>5</v>
      </c>
      <c r="C813" s="4">
        <v>4601025</v>
      </c>
      <c r="D813" t="s">
        <v>163</v>
      </c>
      <c r="E813" s="3">
        <v>192.2</v>
      </c>
    </row>
    <row r="814" spans="1:5" x14ac:dyDescent="0.45">
      <c r="A814">
        <v>2026</v>
      </c>
      <c r="B814">
        <v>5</v>
      </c>
      <c r="C814" s="4">
        <v>460102520</v>
      </c>
      <c r="D814" t="s">
        <v>164</v>
      </c>
      <c r="E814" s="3">
        <v>192.2</v>
      </c>
    </row>
    <row r="815" spans="1:5" x14ac:dyDescent="0.45">
      <c r="A815">
        <v>2026</v>
      </c>
      <c r="B815">
        <v>5</v>
      </c>
      <c r="C815" s="4">
        <v>46015</v>
      </c>
      <c r="D815" t="s">
        <v>165</v>
      </c>
      <c r="E815" s="3">
        <v>63</v>
      </c>
    </row>
    <row r="816" spans="1:5" x14ac:dyDescent="0.45">
      <c r="A816">
        <v>2026</v>
      </c>
      <c r="B816">
        <v>5</v>
      </c>
      <c r="C816" s="4">
        <v>4601510</v>
      </c>
      <c r="D816" t="s">
        <v>166</v>
      </c>
      <c r="E816" s="3">
        <v>63</v>
      </c>
    </row>
    <row r="817" spans="1:5" x14ac:dyDescent="0.45">
      <c r="A817">
        <v>2026</v>
      </c>
      <c r="B817">
        <v>5</v>
      </c>
      <c r="C817" s="4">
        <v>460151040</v>
      </c>
      <c r="D817" t="s">
        <v>167</v>
      </c>
      <c r="E817" s="3">
        <v>63</v>
      </c>
    </row>
    <row r="818" spans="1:5" x14ac:dyDescent="0.45">
      <c r="A818">
        <v>2026</v>
      </c>
      <c r="B818">
        <v>5</v>
      </c>
      <c r="C818" s="4">
        <v>480</v>
      </c>
      <c r="D818" t="s">
        <v>168</v>
      </c>
      <c r="E818" s="3">
        <v>97624.46</v>
      </c>
    </row>
    <row r="819" spans="1:5" x14ac:dyDescent="0.45">
      <c r="A819">
        <v>2026</v>
      </c>
      <c r="B819">
        <v>5</v>
      </c>
      <c r="C819" s="4">
        <v>48010</v>
      </c>
      <c r="D819" t="s">
        <v>169</v>
      </c>
      <c r="E819" s="3">
        <v>94638.75</v>
      </c>
    </row>
    <row r="820" spans="1:5" x14ac:dyDescent="0.45">
      <c r="A820">
        <v>2026</v>
      </c>
      <c r="B820">
        <v>5</v>
      </c>
      <c r="C820" s="4">
        <v>4801010</v>
      </c>
      <c r="D820" t="s">
        <v>169</v>
      </c>
      <c r="E820" s="3">
        <v>7792.98</v>
      </c>
    </row>
    <row r="821" spans="1:5" x14ac:dyDescent="0.45">
      <c r="A821">
        <v>2026</v>
      </c>
      <c r="B821">
        <v>5</v>
      </c>
      <c r="C821" s="4">
        <v>4801051</v>
      </c>
      <c r="D821" t="s">
        <v>170</v>
      </c>
      <c r="E821" s="3">
        <v>6928.53</v>
      </c>
    </row>
    <row r="822" spans="1:5" x14ac:dyDescent="0.45">
      <c r="A822">
        <v>2026</v>
      </c>
      <c r="B822">
        <v>5</v>
      </c>
      <c r="C822" s="4">
        <v>4801052</v>
      </c>
      <c r="D822" t="s">
        <v>171</v>
      </c>
      <c r="E822" s="3">
        <v>78288.149999999994</v>
      </c>
    </row>
    <row r="823" spans="1:5" x14ac:dyDescent="0.45">
      <c r="A823">
        <v>2026</v>
      </c>
      <c r="B823">
        <v>5</v>
      </c>
      <c r="C823" s="4">
        <v>4801053</v>
      </c>
      <c r="D823" t="s">
        <v>172</v>
      </c>
      <c r="E823" s="3">
        <v>1629.09</v>
      </c>
    </row>
    <row r="824" spans="1:5" x14ac:dyDescent="0.45">
      <c r="A824">
        <v>2026</v>
      </c>
      <c r="B824">
        <v>5</v>
      </c>
      <c r="C824" s="4">
        <v>48015</v>
      </c>
      <c r="D824" t="s">
        <v>173</v>
      </c>
      <c r="E824" s="3">
        <v>2985.71</v>
      </c>
    </row>
    <row r="825" spans="1:5" x14ac:dyDescent="0.45">
      <c r="A825">
        <v>2026</v>
      </c>
      <c r="B825">
        <v>5</v>
      </c>
      <c r="C825" s="4">
        <v>600</v>
      </c>
      <c r="D825" t="s">
        <v>174</v>
      </c>
      <c r="E825" s="3">
        <v>256271.97</v>
      </c>
    </row>
    <row r="826" spans="1:5" x14ac:dyDescent="0.45">
      <c r="A826">
        <v>2026</v>
      </c>
      <c r="B826">
        <v>5</v>
      </c>
      <c r="C826" s="4">
        <v>60010</v>
      </c>
      <c r="D826" t="s">
        <v>175</v>
      </c>
      <c r="E826" s="3">
        <v>93858.559999999998</v>
      </c>
    </row>
    <row r="827" spans="1:5" x14ac:dyDescent="0.45">
      <c r="A827">
        <v>2026</v>
      </c>
      <c r="B827">
        <v>5</v>
      </c>
      <c r="C827" s="4">
        <v>6001010</v>
      </c>
      <c r="D827" t="s">
        <v>176</v>
      </c>
      <c r="E827" s="3">
        <v>93858.559999999998</v>
      </c>
    </row>
    <row r="828" spans="1:5" x14ac:dyDescent="0.45">
      <c r="A828">
        <v>2026</v>
      </c>
      <c r="B828">
        <v>5</v>
      </c>
      <c r="C828" s="4">
        <v>600101010</v>
      </c>
      <c r="D828" t="s">
        <v>177</v>
      </c>
      <c r="E828" s="3">
        <v>38751.519999999997</v>
      </c>
    </row>
    <row r="829" spans="1:5" x14ac:dyDescent="0.45">
      <c r="A829">
        <v>2026</v>
      </c>
      <c r="B829">
        <v>5</v>
      </c>
      <c r="C829" s="4">
        <v>600101015</v>
      </c>
      <c r="D829" t="s">
        <v>178</v>
      </c>
      <c r="E829" s="3">
        <v>45023.89</v>
      </c>
    </row>
    <row r="830" spans="1:5" x14ac:dyDescent="0.45">
      <c r="A830">
        <v>2026</v>
      </c>
      <c r="B830">
        <v>5</v>
      </c>
      <c r="C830" s="4">
        <v>60010101550</v>
      </c>
      <c r="D830" t="s">
        <v>179</v>
      </c>
      <c r="E830" s="3">
        <v>36400</v>
      </c>
    </row>
    <row r="831" spans="1:5" x14ac:dyDescent="0.45">
      <c r="A831">
        <v>2026</v>
      </c>
      <c r="B831">
        <v>5</v>
      </c>
      <c r="C831" s="4">
        <v>60010101551</v>
      </c>
      <c r="D831" t="s">
        <v>180</v>
      </c>
      <c r="E831" s="3">
        <v>8623.89</v>
      </c>
    </row>
    <row r="832" spans="1:5" x14ac:dyDescent="0.45">
      <c r="A832">
        <v>2026</v>
      </c>
      <c r="B832">
        <v>5</v>
      </c>
      <c r="C832" s="4">
        <v>600101051</v>
      </c>
      <c r="D832" t="s">
        <v>181</v>
      </c>
      <c r="E832" s="3">
        <v>10083.15</v>
      </c>
    </row>
    <row r="833" spans="1:5" x14ac:dyDescent="0.45">
      <c r="A833">
        <v>2026</v>
      </c>
      <c r="B833">
        <v>5</v>
      </c>
      <c r="C833" s="4">
        <v>60015</v>
      </c>
      <c r="D833" t="s">
        <v>182</v>
      </c>
      <c r="E833" s="3">
        <v>162413.41</v>
      </c>
    </row>
    <row r="834" spans="1:5" x14ac:dyDescent="0.45">
      <c r="A834">
        <v>2026</v>
      </c>
      <c r="B834">
        <v>5</v>
      </c>
      <c r="C834" s="4">
        <v>6001510</v>
      </c>
      <c r="D834" t="s">
        <v>183</v>
      </c>
      <c r="E834" s="3">
        <v>162413.41</v>
      </c>
    </row>
    <row r="835" spans="1:5" x14ac:dyDescent="0.45">
      <c r="A835">
        <v>2026</v>
      </c>
      <c r="B835">
        <v>5</v>
      </c>
      <c r="C835" s="4">
        <v>600151051</v>
      </c>
      <c r="D835" t="s">
        <v>184</v>
      </c>
      <c r="E835" s="3">
        <v>16248</v>
      </c>
    </row>
    <row r="836" spans="1:5" x14ac:dyDescent="0.45">
      <c r="A836">
        <v>2026</v>
      </c>
      <c r="B836">
        <v>5</v>
      </c>
      <c r="C836" s="4">
        <v>600151052</v>
      </c>
      <c r="D836" t="s">
        <v>185</v>
      </c>
      <c r="E836" s="3">
        <v>32913.81</v>
      </c>
    </row>
    <row r="837" spans="1:5" x14ac:dyDescent="0.45">
      <c r="A837">
        <v>2026</v>
      </c>
      <c r="B837">
        <v>5</v>
      </c>
      <c r="C837" s="4">
        <v>600151053</v>
      </c>
      <c r="D837" t="s">
        <v>186</v>
      </c>
      <c r="E837" s="3">
        <v>64998.36</v>
      </c>
    </row>
    <row r="838" spans="1:5" x14ac:dyDescent="0.45">
      <c r="A838">
        <v>2026</v>
      </c>
      <c r="B838">
        <v>5</v>
      </c>
      <c r="C838" s="4">
        <v>600151055</v>
      </c>
      <c r="D838" t="s">
        <v>187</v>
      </c>
      <c r="E838" s="3">
        <v>1327</v>
      </c>
    </row>
    <row r="839" spans="1:5" x14ac:dyDescent="0.45">
      <c r="A839">
        <v>2026</v>
      </c>
      <c r="B839">
        <v>5</v>
      </c>
      <c r="C839" s="4">
        <v>600151060</v>
      </c>
      <c r="D839" t="s">
        <v>188</v>
      </c>
      <c r="E839" s="3">
        <v>31597.58</v>
      </c>
    </row>
    <row r="840" spans="1:5" x14ac:dyDescent="0.45">
      <c r="A840">
        <v>2026</v>
      </c>
      <c r="B840">
        <v>5</v>
      </c>
      <c r="C840" s="4">
        <v>600151061</v>
      </c>
      <c r="D840" t="s">
        <v>189</v>
      </c>
      <c r="E840" s="3">
        <v>10229</v>
      </c>
    </row>
    <row r="841" spans="1:5" x14ac:dyDescent="0.45">
      <c r="A841">
        <v>2026</v>
      </c>
      <c r="B841">
        <v>5</v>
      </c>
      <c r="C841" s="4">
        <v>600151063</v>
      </c>
      <c r="D841" t="s">
        <v>190</v>
      </c>
      <c r="E841" s="3">
        <v>5099.66</v>
      </c>
    </row>
    <row r="842" spans="1:5" x14ac:dyDescent="0.45">
      <c r="A842">
        <v>2026</v>
      </c>
      <c r="B842">
        <v>5</v>
      </c>
      <c r="C842" s="4">
        <v>640</v>
      </c>
      <c r="D842" t="s">
        <v>191</v>
      </c>
      <c r="E842" s="3">
        <v>938481.38</v>
      </c>
    </row>
    <row r="843" spans="1:5" x14ac:dyDescent="0.45">
      <c r="A843">
        <v>2026</v>
      </c>
      <c r="B843">
        <v>5</v>
      </c>
      <c r="C843" s="4">
        <v>64003</v>
      </c>
      <c r="D843" t="s">
        <v>192</v>
      </c>
      <c r="E843" s="3">
        <v>9022.9500000000007</v>
      </c>
    </row>
    <row r="844" spans="1:5" x14ac:dyDescent="0.45">
      <c r="A844">
        <v>2026</v>
      </c>
      <c r="B844">
        <v>5</v>
      </c>
      <c r="C844" s="4">
        <v>6400335</v>
      </c>
      <c r="D844" t="s">
        <v>193</v>
      </c>
      <c r="E844" s="3">
        <v>9022.9500000000007</v>
      </c>
    </row>
    <row r="845" spans="1:5" x14ac:dyDescent="0.45">
      <c r="A845">
        <v>2026</v>
      </c>
      <c r="B845">
        <v>5</v>
      </c>
      <c r="C845" s="4">
        <v>64012</v>
      </c>
      <c r="D845" t="s">
        <v>194</v>
      </c>
      <c r="E845" s="3">
        <v>4809.79</v>
      </c>
    </row>
    <row r="846" spans="1:5" x14ac:dyDescent="0.45">
      <c r="A846">
        <v>2026</v>
      </c>
      <c r="B846">
        <v>5</v>
      </c>
      <c r="C846" s="4">
        <v>6401215</v>
      </c>
      <c r="D846" t="s">
        <v>195</v>
      </c>
      <c r="E846" s="3">
        <v>6.11</v>
      </c>
    </row>
    <row r="847" spans="1:5" x14ac:dyDescent="0.45">
      <c r="A847">
        <v>2026</v>
      </c>
      <c r="B847">
        <v>5</v>
      </c>
      <c r="C847" s="4">
        <v>6401232</v>
      </c>
      <c r="D847" t="s">
        <v>196</v>
      </c>
      <c r="E847" s="3">
        <v>1280</v>
      </c>
    </row>
    <row r="848" spans="1:5" x14ac:dyDescent="0.45">
      <c r="A848">
        <v>2026</v>
      </c>
      <c r="B848">
        <v>5</v>
      </c>
      <c r="C848" s="4">
        <v>640123204</v>
      </c>
      <c r="D848" t="s">
        <v>197</v>
      </c>
      <c r="E848" s="3">
        <v>1280</v>
      </c>
    </row>
    <row r="849" spans="1:5" x14ac:dyDescent="0.45">
      <c r="A849">
        <v>2026</v>
      </c>
      <c r="B849">
        <v>5</v>
      </c>
      <c r="C849" s="4">
        <v>6401233</v>
      </c>
      <c r="D849" t="s">
        <v>198</v>
      </c>
      <c r="E849" s="3">
        <v>299.95999999999998</v>
      </c>
    </row>
    <row r="850" spans="1:5" x14ac:dyDescent="0.45">
      <c r="A850">
        <v>2026</v>
      </c>
      <c r="B850">
        <v>5</v>
      </c>
      <c r="C850" s="4">
        <v>6401259</v>
      </c>
      <c r="D850" t="s">
        <v>199</v>
      </c>
      <c r="E850" s="3">
        <v>170.13</v>
      </c>
    </row>
    <row r="851" spans="1:5" x14ac:dyDescent="0.45">
      <c r="A851">
        <v>2026</v>
      </c>
      <c r="B851">
        <v>5</v>
      </c>
      <c r="C851" s="4">
        <v>6401260</v>
      </c>
      <c r="D851" t="s">
        <v>200</v>
      </c>
      <c r="E851" s="3">
        <v>3053.59</v>
      </c>
    </row>
    <row r="852" spans="1:5" x14ac:dyDescent="0.45">
      <c r="A852">
        <v>2026</v>
      </c>
      <c r="B852">
        <v>5</v>
      </c>
      <c r="C852" s="4">
        <v>64015</v>
      </c>
      <c r="D852" t="s">
        <v>201</v>
      </c>
      <c r="E852" s="3">
        <v>850768.74</v>
      </c>
    </row>
    <row r="853" spans="1:5" x14ac:dyDescent="0.45">
      <c r="A853">
        <v>2026</v>
      </c>
      <c r="B853">
        <v>5</v>
      </c>
      <c r="C853" s="4">
        <v>6401550</v>
      </c>
      <c r="D853" t="s">
        <v>202</v>
      </c>
      <c r="E853" s="3">
        <v>13500</v>
      </c>
    </row>
    <row r="854" spans="1:5" x14ac:dyDescent="0.45">
      <c r="A854">
        <v>2026</v>
      </c>
      <c r="B854">
        <v>5</v>
      </c>
      <c r="C854" s="4">
        <v>6401551</v>
      </c>
      <c r="D854" t="s">
        <v>203</v>
      </c>
      <c r="E854" s="3">
        <v>11900</v>
      </c>
    </row>
    <row r="855" spans="1:5" x14ac:dyDescent="0.45">
      <c r="A855">
        <v>2026</v>
      </c>
      <c r="B855">
        <v>5</v>
      </c>
      <c r="C855" s="4">
        <v>6401552</v>
      </c>
      <c r="D855" t="s">
        <v>204</v>
      </c>
      <c r="E855" s="3">
        <v>102600</v>
      </c>
    </row>
    <row r="856" spans="1:5" x14ac:dyDescent="0.45">
      <c r="A856">
        <v>2026</v>
      </c>
      <c r="B856">
        <v>5</v>
      </c>
      <c r="C856" s="4">
        <v>6401554</v>
      </c>
      <c r="D856" t="s">
        <v>205</v>
      </c>
      <c r="E856" s="3">
        <v>354988.74</v>
      </c>
    </row>
    <row r="857" spans="1:5" x14ac:dyDescent="0.45">
      <c r="A857">
        <v>2026</v>
      </c>
      <c r="B857">
        <v>5</v>
      </c>
      <c r="C857" s="4">
        <v>6401556</v>
      </c>
      <c r="D857" t="s">
        <v>206</v>
      </c>
      <c r="E857" s="3">
        <v>18000</v>
      </c>
    </row>
    <row r="858" spans="1:5" x14ac:dyDescent="0.45">
      <c r="A858">
        <v>2026</v>
      </c>
      <c r="B858">
        <v>5</v>
      </c>
      <c r="C858" s="4">
        <v>6401557</v>
      </c>
      <c r="D858" t="s">
        <v>207</v>
      </c>
      <c r="E858" s="3">
        <v>90000</v>
      </c>
    </row>
    <row r="859" spans="1:5" x14ac:dyDescent="0.45">
      <c r="A859">
        <v>2026</v>
      </c>
      <c r="B859">
        <v>5</v>
      </c>
      <c r="C859" s="4">
        <v>6401564</v>
      </c>
      <c r="D859" t="s">
        <v>208</v>
      </c>
      <c r="E859" s="3">
        <v>4780</v>
      </c>
    </row>
    <row r="860" spans="1:5" x14ac:dyDescent="0.45">
      <c r="A860">
        <v>2026</v>
      </c>
      <c r="B860">
        <v>5</v>
      </c>
      <c r="C860" s="4">
        <v>6401565</v>
      </c>
      <c r="D860" t="s">
        <v>209</v>
      </c>
      <c r="E860" s="3">
        <v>255000</v>
      </c>
    </row>
    <row r="861" spans="1:5" x14ac:dyDescent="0.45">
      <c r="A861">
        <v>2026</v>
      </c>
      <c r="B861">
        <v>5</v>
      </c>
      <c r="C861" s="4">
        <v>64017</v>
      </c>
      <c r="D861" t="s">
        <v>210</v>
      </c>
      <c r="E861" s="3">
        <v>73879.899999999994</v>
      </c>
    </row>
    <row r="862" spans="1:5" x14ac:dyDescent="0.45">
      <c r="A862">
        <v>2026</v>
      </c>
      <c r="B862">
        <v>5</v>
      </c>
      <c r="C862" s="4">
        <v>6401750</v>
      </c>
      <c r="D862" t="s">
        <v>211</v>
      </c>
      <c r="E862" s="3">
        <v>302.89999999999998</v>
      </c>
    </row>
    <row r="863" spans="1:5" x14ac:dyDescent="0.45">
      <c r="A863">
        <v>2026</v>
      </c>
      <c r="B863">
        <v>5</v>
      </c>
      <c r="C863" s="4">
        <v>6401751</v>
      </c>
      <c r="D863" t="s">
        <v>212</v>
      </c>
      <c r="E863" s="3">
        <v>73577</v>
      </c>
    </row>
    <row r="864" spans="1:5" x14ac:dyDescent="0.45">
      <c r="A864">
        <v>2026</v>
      </c>
      <c r="B864">
        <v>5</v>
      </c>
      <c r="C864" s="4">
        <v>680</v>
      </c>
      <c r="D864" t="s">
        <v>213</v>
      </c>
      <c r="E864" s="3">
        <v>54535.26</v>
      </c>
    </row>
    <row r="865" spans="1:5" x14ac:dyDescent="0.45">
      <c r="A865">
        <v>2026</v>
      </c>
      <c r="B865">
        <v>5</v>
      </c>
      <c r="C865" s="4">
        <v>68007</v>
      </c>
      <c r="D865" t="s">
        <v>214</v>
      </c>
      <c r="E865" s="3">
        <v>19050.12</v>
      </c>
    </row>
    <row r="866" spans="1:5" x14ac:dyDescent="0.45">
      <c r="A866">
        <v>2026</v>
      </c>
      <c r="B866">
        <v>5</v>
      </c>
      <c r="C866" s="4">
        <v>6800750</v>
      </c>
      <c r="D866" t="s">
        <v>215</v>
      </c>
      <c r="E866" s="3">
        <v>11063.34</v>
      </c>
    </row>
    <row r="867" spans="1:5" x14ac:dyDescent="0.45">
      <c r="A867">
        <v>2026</v>
      </c>
      <c r="B867">
        <v>5</v>
      </c>
      <c r="C867" s="4">
        <v>6800751</v>
      </c>
      <c r="D867" t="s">
        <v>216</v>
      </c>
      <c r="E867" s="3">
        <v>7986.78</v>
      </c>
    </row>
    <row r="868" spans="1:5" x14ac:dyDescent="0.45">
      <c r="A868">
        <v>2026</v>
      </c>
      <c r="B868">
        <v>5</v>
      </c>
      <c r="C868" s="4">
        <v>68020</v>
      </c>
      <c r="D868" t="s">
        <v>217</v>
      </c>
      <c r="E868" s="3">
        <v>2328.08</v>
      </c>
    </row>
    <row r="869" spans="1:5" x14ac:dyDescent="0.45">
      <c r="A869">
        <v>2026</v>
      </c>
      <c r="B869">
        <v>5</v>
      </c>
      <c r="C869" s="4">
        <v>6802010</v>
      </c>
      <c r="D869" t="s">
        <v>218</v>
      </c>
      <c r="E869" s="3">
        <v>489.55</v>
      </c>
    </row>
    <row r="870" spans="1:5" x14ac:dyDescent="0.45">
      <c r="A870">
        <v>2026</v>
      </c>
      <c r="B870">
        <v>5</v>
      </c>
      <c r="C870" s="4">
        <v>680201010</v>
      </c>
      <c r="D870" t="s">
        <v>218</v>
      </c>
      <c r="E870" s="3">
        <v>489.55</v>
      </c>
    </row>
    <row r="871" spans="1:5" x14ac:dyDescent="0.45">
      <c r="A871">
        <v>2026</v>
      </c>
      <c r="B871">
        <v>5</v>
      </c>
      <c r="C871" s="4">
        <v>6802025</v>
      </c>
      <c r="D871" t="s">
        <v>219</v>
      </c>
      <c r="E871" s="3">
        <v>1534.91</v>
      </c>
    </row>
    <row r="872" spans="1:5" x14ac:dyDescent="0.45">
      <c r="A872">
        <v>2026</v>
      </c>
      <c r="B872">
        <v>5</v>
      </c>
      <c r="C872" s="4">
        <v>680202530</v>
      </c>
      <c r="D872" t="s">
        <v>220</v>
      </c>
      <c r="E872" s="3">
        <v>1534.91</v>
      </c>
    </row>
    <row r="873" spans="1:5" x14ac:dyDescent="0.45">
      <c r="A873">
        <v>2026</v>
      </c>
      <c r="B873">
        <v>5</v>
      </c>
      <c r="C873" s="4">
        <v>6802030</v>
      </c>
      <c r="D873" t="s">
        <v>221</v>
      </c>
      <c r="E873" s="3">
        <v>303.62</v>
      </c>
    </row>
    <row r="874" spans="1:5" x14ac:dyDescent="0.45">
      <c r="A874">
        <v>2026</v>
      </c>
      <c r="B874">
        <v>5</v>
      </c>
      <c r="C874" s="4">
        <v>680203024</v>
      </c>
      <c r="D874" t="s">
        <v>222</v>
      </c>
      <c r="E874" s="3">
        <v>220.55</v>
      </c>
    </row>
    <row r="875" spans="1:5" x14ac:dyDescent="0.45">
      <c r="A875">
        <v>2026</v>
      </c>
      <c r="B875">
        <v>5</v>
      </c>
      <c r="C875" s="4">
        <v>680203050</v>
      </c>
      <c r="D875" t="s">
        <v>223</v>
      </c>
      <c r="E875" s="3">
        <v>83.07</v>
      </c>
    </row>
    <row r="876" spans="1:5" x14ac:dyDescent="0.45">
      <c r="A876">
        <v>2026</v>
      </c>
      <c r="B876">
        <v>5</v>
      </c>
      <c r="C876" s="4">
        <v>68025</v>
      </c>
      <c r="D876" t="s">
        <v>224</v>
      </c>
      <c r="E876" s="3">
        <v>33157.06</v>
      </c>
    </row>
    <row r="877" spans="1:5" x14ac:dyDescent="0.45">
      <c r="A877">
        <v>2026</v>
      </c>
      <c r="B877">
        <v>5</v>
      </c>
      <c r="C877" s="4">
        <v>6802510</v>
      </c>
      <c r="D877" t="s">
        <v>225</v>
      </c>
      <c r="E877" s="3">
        <v>25720.1</v>
      </c>
    </row>
    <row r="878" spans="1:5" x14ac:dyDescent="0.45">
      <c r="A878">
        <v>2026</v>
      </c>
      <c r="B878">
        <v>5</v>
      </c>
      <c r="C878" s="4">
        <v>6802520</v>
      </c>
      <c r="D878" t="s">
        <v>226</v>
      </c>
      <c r="E878" s="3">
        <v>4635.71</v>
      </c>
    </row>
    <row r="879" spans="1:5" x14ac:dyDescent="0.45">
      <c r="A879">
        <v>2026</v>
      </c>
      <c r="B879">
        <v>5</v>
      </c>
      <c r="C879" s="4">
        <v>6802552</v>
      </c>
      <c r="D879" t="s">
        <v>227</v>
      </c>
      <c r="E879" s="3">
        <v>2801.25</v>
      </c>
    </row>
    <row r="880" spans="1:5" x14ac:dyDescent="0.45">
      <c r="A880">
        <v>2026</v>
      </c>
      <c r="B880">
        <v>5</v>
      </c>
      <c r="C880" s="4">
        <v>690</v>
      </c>
      <c r="D880" t="s">
        <v>228</v>
      </c>
      <c r="E880" s="3">
        <v>637619.46</v>
      </c>
    </row>
    <row r="881" spans="1:5" x14ac:dyDescent="0.45">
      <c r="A881">
        <v>2026</v>
      </c>
      <c r="B881">
        <v>5</v>
      </c>
      <c r="C881" s="4">
        <v>69012</v>
      </c>
      <c r="D881" t="s">
        <v>229</v>
      </c>
      <c r="E881" s="3">
        <v>415565.23</v>
      </c>
    </row>
    <row r="882" spans="1:5" x14ac:dyDescent="0.45">
      <c r="A882">
        <v>2026</v>
      </c>
      <c r="B882">
        <v>5</v>
      </c>
      <c r="C882" s="4">
        <v>6901201</v>
      </c>
      <c r="D882" t="s">
        <v>229</v>
      </c>
      <c r="E882" s="3">
        <v>4632</v>
      </c>
    </row>
    <row r="883" spans="1:5" x14ac:dyDescent="0.45">
      <c r="A883">
        <v>2026</v>
      </c>
      <c r="B883">
        <v>5</v>
      </c>
      <c r="C883" s="4">
        <v>6901230</v>
      </c>
      <c r="D883" t="s">
        <v>230</v>
      </c>
      <c r="E883" s="3">
        <v>27451.17</v>
      </c>
    </row>
    <row r="884" spans="1:5" x14ac:dyDescent="0.45">
      <c r="A884">
        <v>2026</v>
      </c>
      <c r="B884">
        <v>5</v>
      </c>
      <c r="C884" s="4">
        <v>6901251</v>
      </c>
      <c r="D884" t="s">
        <v>231</v>
      </c>
      <c r="E884" s="3">
        <v>150339.29</v>
      </c>
    </row>
    <row r="885" spans="1:5" x14ac:dyDescent="0.45">
      <c r="A885">
        <v>2026</v>
      </c>
      <c r="B885">
        <v>5</v>
      </c>
      <c r="C885" s="4">
        <v>6901252</v>
      </c>
      <c r="D885" t="s">
        <v>232</v>
      </c>
      <c r="E885" s="3">
        <v>23218.080000000002</v>
      </c>
    </row>
    <row r="886" spans="1:5" x14ac:dyDescent="0.45">
      <c r="A886">
        <v>2026</v>
      </c>
      <c r="B886">
        <v>5</v>
      </c>
      <c r="C886" s="4">
        <v>6901253</v>
      </c>
      <c r="D886" t="s">
        <v>233</v>
      </c>
      <c r="E886" s="3">
        <v>45651.3</v>
      </c>
    </row>
    <row r="887" spans="1:5" x14ac:dyDescent="0.45">
      <c r="A887">
        <v>2026</v>
      </c>
      <c r="B887">
        <v>5</v>
      </c>
      <c r="C887" s="4">
        <v>6901254</v>
      </c>
      <c r="D887" t="s">
        <v>234</v>
      </c>
      <c r="E887" s="3">
        <v>270.08</v>
      </c>
    </row>
    <row r="888" spans="1:5" x14ac:dyDescent="0.45">
      <c r="A888">
        <v>2026</v>
      </c>
      <c r="B888">
        <v>5</v>
      </c>
      <c r="C888" s="4">
        <v>6901257</v>
      </c>
      <c r="D888" t="s">
        <v>235</v>
      </c>
      <c r="E888" s="3">
        <v>164003.31</v>
      </c>
    </row>
    <row r="889" spans="1:5" x14ac:dyDescent="0.45">
      <c r="A889">
        <v>2026</v>
      </c>
      <c r="B889">
        <v>5</v>
      </c>
      <c r="C889" s="4">
        <v>69015</v>
      </c>
      <c r="D889" t="s">
        <v>236</v>
      </c>
      <c r="E889" s="3">
        <v>16686.12</v>
      </c>
    </row>
    <row r="890" spans="1:5" x14ac:dyDescent="0.45">
      <c r="A890">
        <v>2026</v>
      </c>
      <c r="B890">
        <v>5</v>
      </c>
      <c r="C890" s="4">
        <v>6901510</v>
      </c>
      <c r="D890" t="s">
        <v>237</v>
      </c>
      <c r="E890" s="3">
        <v>2207.8200000000002</v>
      </c>
    </row>
    <row r="891" spans="1:5" x14ac:dyDescent="0.45">
      <c r="A891">
        <v>2026</v>
      </c>
      <c r="B891">
        <v>5</v>
      </c>
      <c r="C891" s="4">
        <v>690151020</v>
      </c>
      <c r="D891" t="s">
        <v>238</v>
      </c>
      <c r="E891" s="3">
        <v>2207.8200000000002</v>
      </c>
    </row>
    <row r="892" spans="1:5" x14ac:dyDescent="0.45">
      <c r="A892">
        <v>2026</v>
      </c>
      <c r="B892">
        <v>5</v>
      </c>
      <c r="C892" s="4">
        <v>6901515</v>
      </c>
      <c r="D892" t="s">
        <v>239</v>
      </c>
      <c r="E892" s="3">
        <v>1000</v>
      </c>
    </row>
    <row r="893" spans="1:5" x14ac:dyDescent="0.45">
      <c r="A893">
        <v>2026</v>
      </c>
      <c r="B893">
        <v>5</v>
      </c>
      <c r="C893" s="4">
        <v>690151520</v>
      </c>
      <c r="D893" t="s">
        <v>240</v>
      </c>
      <c r="E893" s="3">
        <v>800</v>
      </c>
    </row>
    <row r="894" spans="1:5" x14ac:dyDescent="0.45">
      <c r="A894">
        <v>2026</v>
      </c>
      <c r="B894">
        <v>5</v>
      </c>
      <c r="C894" s="4">
        <v>690151527</v>
      </c>
      <c r="D894" t="s">
        <v>241</v>
      </c>
      <c r="E894" s="3">
        <v>200</v>
      </c>
    </row>
    <row r="895" spans="1:5" x14ac:dyDescent="0.45">
      <c r="A895">
        <v>2026</v>
      </c>
      <c r="B895">
        <v>5</v>
      </c>
      <c r="C895" s="4">
        <v>6901525</v>
      </c>
      <c r="D895" t="s">
        <v>242</v>
      </c>
      <c r="E895" s="3">
        <v>13478.3</v>
      </c>
    </row>
    <row r="896" spans="1:5" x14ac:dyDescent="0.45">
      <c r="A896">
        <v>2026</v>
      </c>
      <c r="B896">
        <v>5</v>
      </c>
      <c r="C896" s="4">
        <v>690152510</v>
      </c>
      <c r="D896" t="s">
        <v>243</v>
      </c>
      <c r="E896" s="3">
        <v>3564.2</v>
      </c>
    </row>
    <row r="897" spans="1:5" x14ac:dyDescent="0.45">
      <c r="A897">
        <v>2026</v>
      </c>
      <c r="B897">
        <v>5</v>
      </c>
      <c r="C897" s="4">
        <v>690152520</v>
      </c>
      <c r="D897" t="s">
        <v>244</v>
      </c>
      <c r="E897" s="3">
        <v>6690.8</v>
      </c>
    </row>
    <row r="898" spans="1:5" x14ac:dyDescent="0.45">
      <c r="A898">
        <v>2026</v>
      </c>
      <c r="B898">
        <v>5</v>
      </c>
      <c r="C898" s="4">
        <v>690152550</v>
      </c>
      <c r="D898" t="s">
        <v>245</v>
      </c>
      <c r="E898" s="3">
        <v>1069.2</v>
      </c>
    </row>
    <row r="899" spans="1:5" x14ac:dyDescent="0.45">
      <c r="A899">
        <v>2026</v>
      </c>
      <c r="B899">
        <v>5</v>
      </c>
      <c r="C899" s="4">
        <v>690152551</v>
      </c>
      <c r="D899" t="s">
        <v>246</v>
      </c>
      <c r="E899" s="3">
        <v>2154.1</v>
      </c>
    </row>
    <row r="900" spans="1:5" x14ac:dyDescent="0.45">
      <c r="A900">
        <v>2026</v>
      </c>
      <c r="B900">
        <v>5</v>
      </c>
      <c r="C900" s="4">
        <v>69018</v>
      </c>
      <c r="D900" t="s">
        <v>247</v>
      </c>
      <c r="E900" s="3">
        <v>83699.509999999995</v>
      </c>
    </row>
    <row r="901" spans="1:5" x14ac:dyDescent="0.45">
      <c r="A901">
        <v>2026</v>
      </c>
      <c r="B901">
        <v>5</v>
      </c>
      <c r="C901" s="4">
        <v>6901815</v>
      </c>
      <c r="D901" t="s">
        <v>248</v>
      </c>
      <c r="E901" s="3">
        <v>12869.64</v>
      </c>
    </row>
    <row r="902" spans="1:5" x14ac:dyDescent="0.45">
      <c r="A902">
        <v>2026</v>
      </c>
      <c r="B902">
        <v>5</v>
      </c>
      <c r="C902" s="4">
        <v>690181520</v>
      </c>
      <c r="D902" t="s">
        <v>249</v>
      </c>
      <c r="E902" s="3">
        <v>12869.64</v>
      </c>
    </row>
    <row r="903" spans="1:5" x14ac:dyDescent="0.45">
      <c r="A903">
        <v>2026</v>
      </c>
      <c r="B903">
        <v>5</v>
      </c>
      <c r="C903" s="4">
        <v>6901820</v>
      </c>
      <c r="D903" t="s">
        <v>250</v>
      </c>
      <c r="E903" s="3">
        <v>68259.97</v>
      </c>
    </row>
    <row r="904" spans="1:5" x14ac:dyDescent="0.45">
      <c r="A904">
        <v>2026</v>
      </c>
      <c r="B904">
        <v>5</v>
      </c>
      <c r="C904" s="4">
        <v>690182025</v>
      </c>
      <c r="D904" t="s">
        <v>251</v>
      </c>
      <c r="E904" s="3">
        <v>5711.48</v>
      </c>
    </row>
    <row r="905" spans="1:5" x14ac:dyDescent="0.45">
      <c r="A905">
        <v>2026</v>
      </c>
      <c r="B905">
        <v>5</v>
      </c>
      <c r="C905" s="4">
        <v>690182037</v>
      </c>
      <c r="D905" t="s">
        <v>252</v>
      </c>
      <c r="E905" s="3">
        <v>25428.49</v>
      </c>
    </row>
    <row r="906" spans="1:5" x14ac:dyDescent="0.45">
      <c r="A906">
        <v>2026</v>
      </c>
      <c r="B906">
        <v>5</v>
      </c>
      <c r="C906" s="4">
        <v>690182040</v>
      </c>
      <c r="D906" t="s">
        <v>253</v>
      </c>
      <c r="E906" s="3">
        <v>32000</v>
      </c>
    </row>
    <row r="907" spans="1:5" x14ac:dyDescent="0.45">
      <c r="A907">
        <v>2026</v>
      </c>
      <c r="B907">
        <v>5</v>
      </c>
      <c r="C907" s="4">
        <v>690182048</v>
      </c>
      <c r="D907" t="s">
        <v>254</v>
      </c>
      <c r="E907" s="3">
        <v>5120</v>
      </c>
    </row>
    <row r="908" spans="1:5" x14ac:dyDescent="0.45">
      <c r="A908">
        <v>2026</v>
      </c>
      <c r="B908">
        <v>5</v>
      </c>
      <c r="C908" s="4">
        <v>6901825</v>
      </c>
      <c r="D908" t="s">
        <v>255</v>
      </c>
      <c r="E908" s="3">
        <v>2569.9</v>
      </c>
    </row>
    <row r="909" spans="1:5" x14ac:dyDescent="0.45">
      <c r="A909">
        <v>2026</v>
      </c>
      <c r="B909">
        <v>5</v>
      </c>
      <c r="C909" s="4">
        <v>690182520</v>
      </c>
      <c r="D909" t="s">
        <v>256</v>
      </c>
      <c r="E909" s="3">
        <v>2229.71</v>
      </c>
    </row>
    <row r="910" spans="1:5" x14ac:dyDescent="0.45">
      <c r="A910">
        <v>2026</v>
      </c>
      <c r="B910">
        <v>5</v>
      </c>
      <c r="C910" s="4">
        <v>690182564</v>
      </c>
      <c r="D910" t="s">
        <v>257</v>
      </c>
      <c r="E910" s="3">
        <v>340.19</v>
      </c>
    </row>
    <row r="911" spans="1:5" x14ac:dyDescent="0.45">
      <c r="A911">
        <v>2026</v>
      </c>
      <c r="B911">
        <v>5</v>
      </c>
      <c r="C911" s="4">
        <v>69021</v>
      </c>
      <c r="D911" t="s">
        <v>258</v>
      </c>
      <c r="E911" s="3">
        <v>24914.68</v>
      </c>
    </row>
    <row r="912" spans="1:5" x14ac:dyDescent="0.45">
      <c r="A912">
        <v>2026</v>
      </c>
      <c r="B912">
        <v>5</v>
      </c>
      <c r="C912" s="4">
        <v>6902110</v>
      </c>
      <c r="D912" t="s">
        <v>259</v>
      </c>
      <c r="E912" s="3">
        <v>17139.22</v>
      </c>
    </row>
    <row r="913" spans="1:5" x14ac:dyDescent="0.45">
      <c r="A913">
        <v>2026</v>
      </c>
      <c r="B913">
        <v>5</v>
      </c>
      <c r="C913" s="4">
        <v>6902150</v>
      </c>
      <c r="D913" t="s">
        <v>260</v>
      </c>
      <c r="E913" s="3">
        <v>4182.5</v>
      </c>
    </row>
    <row r="914" spans="1:5" x14ac:dyDescent="0.45">
      <c r="A914">
        <v>2026</v>
      </c>
      <c r="B914">
        <v>5</v>
      </c>
      <c r="C914" s="4">
        <v>6902152</v>
      </c>
      <c r="D914" t="s">
        <v>261</v>
      </c>
      <c r="E914" s="3">
        <v>970.96</v>
      </c>
    </row>
    <row r="915" spans="1:5" x14ac:dyDescent="0.45">
      <c r="A915">
        <v>2026</v>
      </c>
      <c r="B915">
        <v>5</v>
      </c>
      <c r="C915" s="4">
        <v>6902153</v>
      </c>
      <c r="D915" t="s">
        <v>262</v>
      </c>
      <c r="E915" s="3">
        <v>2622</v>
      </c>
    </row>
    <row r="916" spans="1:5" x14ac:dyDescent="0.45">
      <c r="A916">
        <v>2026</v>
      </c>
      <c r="B916">
        <v>5</v>
      </c>
      <c r="C916" s="4">
        <v>69024</v>
      </c>
      <c r="D916" t="s">
        <v>263</v>
      </c>
      <c r="E916" s="3">
        <v>36500.75</v>
      </c>
    </row>
    <row r="917" spans="1:5" x14ac:dyDescent="0.45">
      <c r="A917">
        <v>2026</v>
      </c>
      <c r="B917">
        <v>5</v>
      </c>
      <c r="C917" s="4">
        <v>6902410</v>
      </c>
      <c r="D917" t="s">
        <v>264</v>
      </c>
      <c r="E917" s="3">
        <v>18273.32</v>
      </c>
    </row>
    <row r="918" spans="1:5" x14ac:dyDescent="0.45">
      <c r="A918">
        <v>2026</v>
      </c>
      <c r="B918">
        <v>5</v>
      </c>
      <c r="C918" s="4">
        <v>690241003</v>
      </c>
      <c r="D918" t="s">
        <v>265</v>
      </c>
      <c r="E918" s="3">
        <v>11937.63</v>
      </c>
    </row>
    <row r="919" spans="1:5" x14ac:dyDescent="0.45">
      <c r="A919">
        <v>2026</v>
      </c>
      <c r="B919">
        <v>5</v>
      </c>
      <c r="C919" s="4">
        <v>690241006</v>
      </c>
      <c r="D919" t="s">
        <v>266</v>
      </c>
      <c r="E919" s="3">
        <v>2619.4699999999998</v>
      </c>
    </row>
    <row r="920" spans="1:5" x14ac:dyDescent="0.45">
      <c r="A920">
        <v>2026</v>
      </c>
      <c r="B920">
        <v>5</v>
      </c>
      <c r="C920" s="4">
        <v>690241009</v>
      </c>
      <c r="D920" t="s">
        <v>267</v>
      </c>
      <c r="E920" s="3">
        <v>868.44</v>
      </c>
    </row>
    <row r="921" spans="1:5" x14ac:dyDescent="0.45">
      <c r="A921">
        <v>2026</v>
      </c>
      <c r="B921">
        <v>5</v>
      </c>
      <c r="C921" s="4">
        <v>690241015</v>
      </c>
      <c r="D921" t="s">
        <v>268</v>
      </c>
      <c r="E921" s="3">
        <v>402.3</v>
      </c>
    </row>
    <row r="922" spans="1:5" x14ac:dyDescent="0.45">
      <c r="A922">
        <v>2026</v>
      </c>
      <c r="B922">
        <v>5</v>
      </c>
      <c r="C922" s="4">
        <v>690241021</v>
      </c>
      <c r="D922" t="s">
        <v>269</v>
      </c>
      <c r="E922" s="3">
        <v>504.22</v>
      </c>
    </row>
    <row r="923" spans="1:5" x14ac:dyDescent="0.45">
      <c r="A923">
        <v>2026</v>
      </c>
      <c r="B923">
        <v>5</v>
      </c>
      <c r="C923" s="4">
        <v>690241024</v>
      </c>
      <c r="D923" t="s">
        <v>270</v>
      </c>
      <c r="E923" s="3">
        <v>1756.91</v>
      </c>
    </row>
    <row r="924" spans="1:5" x14ac:dyDescent="0.45">
      <c r="A924">
        <v>2026</v>
      </c>
      <c r="B924">
        <v>5</v>
      </c>
      <c r="C924" s="4">
        <v>690241065</v>
      </c>
      <c r="D924" t="s">
        <v>271</v>
      </c>
      <c r="E924" s="3">
        <v>184.35</v>
      </c>
    </row>
    <row r="925" spans="1:5" x14ac:dyDescent="0.45">
      <c r="A925">
        <v>2026</v>
      </c>
      <c r="B925">
        <v>5</v>
      </c>
      <c r="C925" s="4">
        <v>6902415</v>
      </c>
      <c r="D925" t="s">
        <v>272</v>
      </c>
      <c r="E925" s="3">
        <v>9163.89</v>
      </c>
    </row>
    <row r="926" spans="1:5" x14ac:dyDescent="0.45">
      <c r="A926">
        <v>2026</v>
      </c>
      <c r="B926">
        <v>5</v>
      </c>
      <c r="C926" s="4">
        <v>690241524</v>
      </c>
      <c r="D926" t="s">
        <v>273</v>
      </c>
      <c r="E926" s="3">
        <v>6463.89</v>
      </c>
    </row>
    <row r="927" spans="1:5" x14ac:dyDescent="0.45">
      <c r="A927">
        <v>2026</v>
      </c>
      <c r="B927">
        <v>5</v>
      </c>
      <c r="C927" s="4">
        <v>690241550</v>
      </c>
      <c r="D927" t="s">
        <v>274</v>
      </c>
      <c r="E927" s="3">
        <v>2700</v>
      </c>
    </row>
    <row r="928" spans="1:5" x14ac:dyDescent="0.45">
      <c r="A928">
        <v>2026</v>
      </c>
      <c r="B928">
        <v>5</v>
      </c>
      <c r="C928" s="4">
        <v>6902420</v>
      </c>
      <c r="D928" t="s">
        <v>275</v>
      </c>
      <c r="E928" s="3">
        <v>8959</v>
      </c>
    </row>
    <row r="929" spans="1:5" x14ac:dyDescent="0.45">
      <c r="A929">
        <v>2026</v>
      </c>
      <c r="B929">
        <v>5</v>
      </c>
      <c r="C929" s="4">
        <v>690242010</v>
      </c>
      <c r="D929" t="s">
        <v>276</v>
      </c>
      <c r="E929" s="3">
        <v>8959</v>
      </c>
    </row>
    <row r="930" spans="1:5" x14ac:dyDescent="0.45">
      <c r="A930">
        <v>2026</v>
      </c>
      <c r="B930">
        <v>5</v>
      </c>
      <c r="C930" s="4">
        <v>6902425</v>
      </c>
      <c r="D930" t="s">
        <v>277</v>
      </c>
      <c r="E930" s="3">
        <v>104.54</v>
      </c>
    </row>
    <row r="931" spans="1:5" x14ac:dyDescent="0.45">
      <c r="A931">
        <v>2026</v>
      </c>
      <c r="B931">
        <v>5</v>
      </c>
      <c r="C931" s="4">
        <v>690242541</v>
      </c>
      <c r="D931" t="s">
        <v>278</v>
      </c>
      <c r="E931" s="3">
        <v>104.54</v>
      </c>
    </row>
    <row r="932" spans="1:5" x14ac:dyDescent="0.45">
      <c r="A932">
        <v>2026</v>
      </c>
      <c r="B932">
        <v>5</v>
      </c>
      <c r="C932" s="4">
        <v>69027</v>
      </c>
      <c r="D932" t="s">
        <v>279</v>
      </c>
      <c r="E932" s="3">
        <v>6413.85</v>
      </c>
    </row>
    <row r="933" spans="1:5" x14ac:dyDescent="0.45">
      <c r="A933">
        <v>2026</v>
      </c>
      <c r="B933">
        <v>5</v>
      </c>
      <c r="C933" s="4">
        <v>6902710</v>
      </c>
      <c r="D933" t="s">
        <v>280</v>
      </c>
      <c r="E933" s="3">
        <v>70</v>
      </c>
    </row>
    <row r="934" spans="1:5" x14ac:dyDescent="0.45">
      <c r="A934">
        <v>2026</v>
      </c>
      <c r="B934">
        <v>5</v>
      </c>
      <c r="C934" s="4">
        <v>6902725</v>
      </c>
      <c r="D934" t="s">
        <v>281</v>
      </c>
      <c r="E934" s="3">
        <v>6193.85</v>
      </c>
    </row>
    <row r="935" spans="1:5" x14ac:dyDescent="0.45">
      <c r="A935">
        <v>2026</v>
      </c>
      <c r="B935">
        <v>5</v>
      </c>
      <c r="C935" s="4">
        <v>6902730</v>
      </c>
      <c r="D935" t="s">
        <v>282</v>
      </c>
      <c r="E935" s="3">
        <v>150</v>
      </c>
    </row>
    <row r="936" spans="1:5" x14ac:dyDescent="0.45">
      <c r="A936">
        <v>2026</v>
      </c>
      <c r="B936">
        <v>5</v>
      </c>
      <c r="C936" s="4">
        <v>69033</v>
      </c>
      <c r="D936" t="s">
        <v>283</v>
      </c>
      <c r="E936" s="3">
        <v>53839.32</v>
      </c>
    </row>
    <row r="937" spans="1:5" x14ac:dyDescent="0.45">
      <c r="A937">
        <v>2026</v>
      </c>
      <c r="B937">
        <v>5</v>
      </c>
      <c r="C937" s="4">
        <v>6903310</v>
      </c>
      <c r="D937" t="s">
        <v>284</v>
      </c>
      <c r="E937" s="3">
        <v>168.64</v>
      </c>
    </row>
    <row r="938" spans="1:5" x14ac:dyDescent="0.45">
      <c r="A938">
        <v>2026</v>
      </c>
      <c r="B938">
        <v>5</v>
      </c>
      <c r="C938" s="4">
        <v>6903312</v>
      </c>
      <c r="D938" t="s">
        <v>285</v>
      </c>
      <c r="E938" s="3">
        <v>13429.24</v>
      </c>
    </row>
    <row r="939" spans="1:5" x14ac:dyDescent="0.45">
      <c r="A939">
        <v>2026</v>
      </c>
      <c r="B939">
        <v>5</v>
      </c>
      <c r="C939" s="4">
        <v>6903315</v>
      </c>
      <c r="D939" t="s">
        <v>286</v>
      </c>
      <c r="E939" s="3">
        <v>1443.39</v>
      </c>
    </row>
    <row r="940" spans="1:5" x14ac:dyDescent="0.45">
      <c r="A940">
        <v>2026</v>
      </c>
      <c r="B940">
        <v>5</v>
      </c>
      <c r="C940" s="4">
        <v>6903316</v>
      </c>
      <c r="D940" t="s">
        <v>287</v>
      </c>
      <c r="E940" s="3">
        <v>13168.29</v>
      </c>
    </row>
    <row r="941" spans="1:5" x14ac:dyDescent="0.45">
      <c r="A941">
        <v>2026</v>
      </c>
      <c r="B941">
        <v>5</v>
      </c>
      <c r="C941" s="4">
        <v>6903320</v>
      </c>
      <c r="D941" t="s">
        <v>288</v>
      </c>
      <c r="E941" s="3">
        <v>2850.92</v>
      </c>
    </row>
    <row r="942" spans="1:5" x14ac:dyDescent="0.45">
      <c r="A942">
        <v>2026</v>
      </c>
      <c r="B942">
        <v>5</v>
      </c>
      <c r="C942" s="4">
        <v>6903351</v>
      </c>
      <c r="D942" t="s">
        <v>289</v>
      </c>
      <c r="E942" s="3">
        <v>8579.4</v>
      </c>
    </row>
    <row r="943" spans="1:5" x14ac:dyDescent="0.45">
      <c r="A943">
        <v>2026</v>
      </c>
      <c r="B943">
        <v>5</v>
      </c>
      <c r="C943" s="4">
        <v>6903352</v>
      </c>
      <c r="D943" t="s">
        <v>290</v>
      </c>
      <c r="E943" s="3">
        <v>12788.9</v>
      </c>
    </row>
    <row r="944" spans="1:5" x14ac:dyDescent="0.45">
      <c r="A944">
        <v>2026</v>
      </c>
      <c r="B944">
        <v>5</v>
      </c>
      <c r="C944" s="4">
        <v>6903353</v>
      </c>
      <c r="D944" t="s">
        <v>291</v>
      </c>
      <c r="E944" s="3">
        <v>536.82000000000005</v>
      </c>
    </row>
    <row r="945" spans="1:5" x14ac:dyDescent="0.45">
      <c r="A945">
        <v>2026</v>
      </c>
      <c r="B945">
        <v>5</v>
      </c>
      <c r="C945" s="4">
        <v>6903354</v>
      </c>
      <c r="D945" t="s">
        <v>292</v>
      </c>
      <c r="E945" s="3">
        <v>873.72</v>
      </c>
    </row>
    <row r="946" spans="1:5" x14ac:dyDescent="0.45">
      <c r="A946">
        <v>2026</v>
      </c>
      <c r="B946">
        <v>5</v>
      </c>
      <c r="C946" s="4">
        <v>700</v>
      </c>
      <c r="D946" t="s">
        <v>293</v>
      </c>
      <c r="E946" s="3">
        <v>183582.27</v>
      </c>
    </row>
    <row r="947" spans="1:5" x14ac:dyDescent="0.45">
      <c r="A947">
        <v>2026</v>
      </c>
      <c r="B947">
        <v>5</v>
      </c>
      <c r="C947" s="4">
        <v>70010</v>
      </c>
      <c r="D947" t="s">
        <v>294</v>
      </c>
      <c r="E947" s="3">
        <v>178652.71</v>
      </c>
    </row>
    <row r="948" spans="1:5" x14ac:dyDescent="0.45">
      <c r="A948">
        <v>2026</v>
      </c>
      <c r="B948">
        <v>5</v>
      </c>
      <c r="C948" s="4">
        <v>7001010</v>
      </c>
      <c r="D948" t="s">
        <v>295</v>
      </c>
      <c r="E948" s="3">
        <v>30000</v>
      </c>
    </row>
    <row r="949" spans="1:5" x14ac:dyDescent="0.45">
      <c r="A949">
        <v>2026</v>
      </c>
      <c r="B949">
        <v>5</v>
      </c>
      <c r="C949" s="4">
        <v>7001020</v>
      </c>
      <c r="D949" t="s">
        <v>296</v>
      </c>
      <c r="E949" s="3">
        <v>10318.82</v>
      </c>
    </row>
    <row r="950" spans="1:5" x14ac:dyDescent="0.45">
      <c r="A950">
        <v>2026</v>
      </c>
      <c r="B950">
        <v>5</v>
      </c>
      <c r="C950" s="4">
        <v>7001052</v>
      </c>
      <c r="D950" t="s">
        <v>297</v>
      </c>
      <c r="E950" s="3">
        <v>40133.89</v>
      </c>
    </row>
    <row r="951" spans="1:5" x14ac:dyDescent="0.45">
      <c r="A951">
        <v>2026</v>
      </c>
      <c r="B951">
        <v>5</v>
      </c>
      <c r="C951" s="4">
        <v>7001053</v>
      </c>
      <c r="D951" t="s">
        <v>298</v>
      </c>
      <c r="E951" s="3">
        <v>8100</v>
      </c>
    </row>
    <row r="952" spans="1:5" x14ac:dyDescent="0.45">
      <c r="A952">
        <v>2026</v>
      </c>
      <c r="B952">
        <v>5</v>
      </c>
      <c r="C952" s="4">
        <v>7001054</v>
      </c>
      <c r="D952" t="s">
        <v>299</v>
      </c>
      <c r="E952" s="3">
        <v>100</v>
      </c>
    </row>
    <row r="953" spans="1:5" x14ac:dyDescent="0.45">
      <c r="A953">
        <v>2026</v>
      </c>
      <c r="B953">
        <v>5</v>
      </c>
      <c r="C953" s="4">
        <v>7001055</v>
      </c>
      <c r="D953" t="s">
        <v>300</v>
      </c>
      <c r="E953" s="3">
        <v>90000</v>
      </c>
    </row>
    <row r="954" spans="1:5" x14ac:dyDescent="0.45">
      <c r="A954">
        <v>2026</v>
      </c>
      <c r="B954">
        <v>5</v>
      </c>
      <c r="C954" s="4">
        <v>70015</v>
      </c>
      <c r="D954" t="s">
        <v>301</v>
      </c>
      <c r="E954" s="3">
        <v>106.63</v>
      </c>
    </row>
    <row r="955" spans="1:5" x14ac:dyDescent="0.45">
      <c r="A955">
        <v>2026</v>
      </c>
      <c r="B955">
        <v>5</v>
      </c>
      <c r="C955" s="4">
        <v>7001520</v>
      </c>
      <c r="D955" t="s">
        <v>302</v>
      </c>
      <c r="E955" s="3">
        <v>106.63</v>
      </c>
    </row>
    <row r="956" spans="1:5" x14ac:dyDescent="0.45">
      <c r="A956">
        <v>2026</v>
      </c>
      <c r="B956">
        <v>5</v>
      </c>
      <c r="C956" s="4">
        <v>70040</v>
      </c>
      <c r="D956" t="s">
        <v>303</v>
      </c>
      <c r="E956" s="3">
        <v>4822.93</v>
      </c>
    </row>
    <row r="957" spans="1:5" x14ac:dyDescent="0.45">
      <c r="A957">
        <v>2026</v>
      </c>
      <c r="B957">
        <v>5</v>
      </c>
      <c r="C957" s="4">
        <v>7004030</v>
      </c>
      <c r="D957" t="s">
        <v>304</v>
      </c>
      <c r="E957" s="3">
        <v>4822.93</v>
      </c>
    </row>
    <row r="958" spans="1:5" x14ac:dyDescent="0.45">
      <c r="A958">
        <v>2026</v>
      </c>
      <c r="B958">
        <v>5</v>
      </c>
      <c r="C958" s="4">
        <v>710</v>
      </c>
      <c r="D958" t="s">
        <v>305</v>
      </c>
      <c r="E958" s="3">
        <v>293866.40000000002</v>
      </c>
    </row>
    <row r="959" spans="1:5" x14ac:dyDescent="0.45">
      <c r="A959">
        <v>2026</v>
      </c>
      <c r="B959">
        <v>5</v>
      </c>
      <c r="C959" s="4">
        <v>71010</v>
      </c>
      <c r="D959" t="s">
        <v>306</v>
      </c>
      <c r="E959" s="3">
        <v>218720.77</v>
      </c>
    </row>
    <row r="960" spans="1:5" x14ac:dyDescent="0.45">
      <c r="A960">
        <v>2026</v>
      </c>
      <c r="B960">
        <v>5</v>
      </c>
      <c r="C960" s="4">
        <v>7101010</v>
      </c>
      <c r="D960" t="s">
        <v>307</v>
      </c>
      <c r="E960" s="3">
        <v>218718.66</v>
      </c>
    </row>
    <row r="961" spans="1:5" x14ac:dyDescent="0.45">
      <c r="A961">
        <v>2026</v>
      </c>
      <c r="B961">
        <v>5</v>
      </c>
      <c r="C961" s="4">
        <v>7101045</v>
      </c>
      <c r="D961" t="s">
        <v>308</v>
      </c>
      <c r="E961" s="3">
        <v>2.11</v>
      </c>
    </row>
    <row r="962" spans="1:5" x14ac:dyDescent="0.45">
      <c r="A962">
        <v>2026</v>
      </c>
      <c r="B962">
        <v>5</v>
      </c>
      <c r="C962" s="4">
        <v>71015</v>
      </c>
      <c r="D962" t="s">
        <v>309</v>
      </c>
      <c r="E962" s="3">
        <v>59335.77</v>
      </c>
    </row>
    <row r="963" spans="1:5" x14ac:dyDescent="0.45">
      <c r="A963">
        <v>2026</v>
      </c>
      <c r="B963">
        <v>5</v>
      </c>
      <c r="C963" s="4">
        <v>7101510</v>
      </c>
      <c r="D963" t="s">
        <v>310</v>
      </c>
      <c r="E963" s="3">
        <v>57497.97</v>
      </c>
    </row>
    <row r="964" spans="1:5" x14ac:dyDescent="0.45">
      <c r="A964">
        <v>2026</v>
      </c>
      <c r="B964">
        <v>5</v>
      </c>
      <c r="C964" s="4">
        <v>7101517</v>
      </c>
      <c r="D964" t="s">
        <v>311</v>
      </c>
      <c r="E964" s="3">
        <v>1104.82</v>
      </c>
    </row>
    <row r="965" spans="1:5" x14ac:dyDescent="0.45">
      <c r="A965">
        <v>2026</v>
      </c>
      <c r="B965">
        <v>5</v>
      </c>
      <c r="C965" s="4">
        <v>710151715</v>
      </c>
      <c r="D965" t="s">
        <v>312</v>
      </c>
      <c r="E965" s="3">
        <v>870</v>
      </c>
    </row>
    <row r="966" spans="1:5" x14ac:dyDescent="0.45">
      <c r="A966">
        <v>2026</v>
      </c>
      <c r="B966">
        <v>5</v>
      </c>
      <c r="C966" s="4">
        <v>710151720</v>
      </c>
      <c r="D966" t="s">
        <v>313</v>
      </c>
      <c r="E966" s="3">
        <v>234.82</v>
      </c>
    </row>
    <row r="967" spans="1:5" x14ac:dyDescent="0.45">
      <c r="A967">
        <v>2026</v>
      </c>
      <c r="B967">
        <v>5</v>
      </c>
      <c r="C967" s="4">
        <v>7101520</v>
      </c>
      <c r="D967" t="s">
        <v>314</v>
      </c>
      <c r="E967" s="3">
        <v>732.98</v>
      </c>
    </row>
    <row r="968" spans="1:5" x14ac:dyDescent="0.45">
      <c r="A968">
        <v>2026</v>
      </c>
      <c r="B968">
        <v>5</v>
      </c>
      <c r="C968" s="4">
        <v>71020</v>
      </c>
      <c r="D968" t="s">
        <v>315</v>
      </c>
      <c r="E968" s="3">
        <v>15049.61</v>
      </c>
    </row>
    <row r="969" spans="1:5" x14ac:dyDescent="0.45">
      <c r="A969">
        <v>2026</v>
      </c>
      <c r="B969">
        <v>5</v>
      </c>
      <c r="C969" s="4">
        <v>7102010</v>
      </c>
      <c r="D969" t="s">
        <v>316</v>
      </c>
      <c r="E969" s="3">
        <v>15049.61</v>
      </c>
    </row>
    <row r="970" spans="1:5" x14ac:dyDescent="0.45">
      <c r="A970">
        <v>2026</v>
      </c>
      <c r="B970">
        <v>5</v>
      </c>
      <c r="C970" s="4">
        <v>71025</v>
      </c>
      <c r="D970" t="s">
        <v>317</v>
      </c>
      <c r="E970" s="3">
        <v>29.22</v>
      </c>
    </row>
    <row r="971" spans="1:5" x14ac:dyDescent="0.45">
      <c r="A971">
        <v>2026</v>
      </c>
      <c r="B971">
        <v>5</v>
      </c>
      <c r="C971" s="4">
        <v>7102520</v>
      </c>
      <c r="D971" t="s">
        <v>318</v>
      </c>
      <c r="E971" s="3">
        <v>29.22</v>
      </c>
    </row>
    <row r="972" spans="1:5" x14ac:dyDescent="0.45">
      <c r="A972">
        <v>2026</v>
      </c>
      <c r="B972">
        <v>5</v>
      </c>
      <c r="C972" s="4">
        <v>71030</v>
      </c>
      <c r="D972" t="s">
        <v>319</v>
      </c>
      <c r="E972" s="3">
        <v>731.03</v>
      </c>
    </row>
    <row r="973" spans="1:5" x14ac:dyDescent="0.45">
      <c r="A973">
        <v>2026</v>
      </c>
      <c r="B973">
        <v>5</v>
      </c>
      <c r="C973" s="4">
        <v>7103024</v>
      </c>
      <c r="D973" t="s">
        <v>320</v>
      </c>
      <c r="E973" s="3">
        <v>731.03</v>
      </c>
    </row>
    <row r="974" spans="1:5" x14ac:dyDescent="0.45">
      <c r="A974">
        <v>2026</v>
      </c>
      <c r="B974">
        <v>5</v>
      </c>
      <c r="C974" s="4">
        <v>720</v>
      </c>
      <c r="D974" t="s">
        <v>321</v>
      </c>
      <c r="E974" s="3">
        <v>14554.2</v>
      </c>
    </row>
    <row r="975" spans="1:5" x14ac:dyDescent="0.45">
      <c r="A975">
        <v>2026</v>
      </c>
      <c r="B975">
        <v>5</v>
      </c>
      <c r="C975" s="4">
        <v>72015</v>
      </c>
      <c r="D975" t="s">
        <v>322</v>
      </c>
      <c r="E975" s="3">
        <v>14554.2</v>
      </c>
    </row>
    <row r="976" spans="1:5" x14ac:dyDescent="0.45">
      <c r="A976">
        <v>2026</v>
      </c>
      <c r="B976">
        <v>5</v>
      </c>
      <c r="C976" s="4">
        <v>7201510</v>
      </c>
      <c r="D976" t="s">
        <v>323</v>
      </c>
      <c r="E976" s="3">
        <v>14554.2</v>
      </c>
    </row>
    <row r="977" spans="1:5" x14ac:dyDescent="0.45">
      <c r="A977">
        <v>2026</v>
      </c>
      <c r="B977">
        <v>5</v>
      </c>
      <c r="C977" s="4">
        <v>720151015</v>
      </c>
      <c r="D977" t="s">
        <v>324</v>
      </c>
      <c r="E977" s="3">
        <v>2467.35</v>
      </c>
    </row>
    <row r="978" spans="1:5" x14ac:dyDescent="0.45">
      <c r="A978">
        <v>2026</v>
      </c>
      <c r="B978">
        <v>5</v>
      </c>
      <c r="C978" s="4">
        <v>720151025</v>
      </c>
      <c r="D978" t="s">
        <v>325</v>
      </c>
      <c r="E978" s="3">
        <v>12018.85</v>
      </c>
    </row>
    <row r="979" spans="1:5" x14ac:dyDescent="0.45">
      <c r="A979">
        <v>2026</v>
      </c>
      <c r="B979">
        <v>5</v>
      </c>
      <c r="C979" s="4">
        <v>720151029</v>
      </c>
      <c r="D979" t="s">
        <v>326</v>
      </c>
      <c r="E979" s="3">
        <v>68</v>
      </c>
    </row>
    <row r="980" spans="1:5" x14ac:dyDescent="0.45">
      <c r="A980">
        <v>2026</v>
      </c>
      <c r="B980">
        <v>5</v>
      </c>
      <c r="C980" s="4">
        <v>730</v>
      </c>
      <c r="D980" t="s">
        <v>327</v>
      </c>
      <c r="E980" s="3">
        <v>-1214.03</v>
      </c>
    </row>
    <row r="981" spans="1:5" x14ac:dyDescent="0.45">
      <c r="A981">
        <v>2026</v>
      </c>
      <c r="B981">
        <v>5</v>
      </c>
      <c r="C981" s="4">
        <v>73025</v>
      </c>
      <c r="D981" t="s">
        <v>328</v>
      </c>
      <c r="E981" s="3">
        <v>-1214.03</v>
      </c>
    </row>
    <row r="982" spans="1:5" x14ac:dyDescent="0.45">
      <c r="A982">
        <v>2026</v>
      </c>
      <c r="B982">
        <v>5</v>
      </c>
      <c r="C982" s="4">
        <v>7302510</v>
      </c>
      <c r="D982" t="s">
        <v>329</v>
      </c>
      <c r="E982" s="3">
        <v>3593.79</v>
      </c>
    </row>
    <row r="983" spans="1:5" x14ac:dyDescent="0.45">
      <c r="A983">
        <v>2026</v>
      </c>
      <c r="B983">
        <v>5</v>
      </c>
      <c r="C983" s="4">
        <v>7302515</v>
      </c>
      <c r="D983" t="s">
        <v>330</v>
      </c>
      <c r="E983" s="3">
        <v>-4020.84</v>
      </c>
    </row>
    <row r="984" spans="1:5" x14ac:dyDescent="0.45">
      <c r="A984">
        <v>2026</v>
      </c>
      <c r="B984">
        <v>5</v>
      </c>
      <c r="C984" s="4">
        <v>7302552</v>
      </c>
      <c r="D984" t="s">
        <v>331</v>
      </c>
      <c r="E984" s="3">
        <v>38364.6</v>
      </c>
    </row>
    <row r="985" spans="1:5" x14ac:dyDescent="0.45">
      <c r="A985">
        <v>2026</v>
      </c>
      <c r="B985">
        <v>5</v>
      </c>
      <c r="C985" s="4">
        <v>7302554</v>
      </c>
      <c r="D985" t="s">
        <v>332</v>
      </c>
      <c r="E985" s="3">
        <v>-39151.58</v>
      </c>
    </row>
    <row r="986" spans="1:5" x14ac:dyDescent="0.45">
      <c r="A986">
        <v>2026</v>
      </c>
      <c r="B986">
        <v>5</v>
      </c>
      <c r="C986" s="4">
        <v>760</v>
      </c>
      <c r="D986" t="s">
        <v>333</v>
      </c>
      <c r="E986" s="3">
        <v>149502.88</v>
      </c>
    </row>
    <row r="987" spans="1:5" x14ac:dyDescent="0.45">
      <c r="A987">
        <v>2026</v>
      </c>
      <c r="B987">
        <v>5</v>
      </c>
      <c r="C987" s="4">
        <v>76010</v>
      </c>
      <c r="D987" t="s">
        <v>334</v>
      </c>
      <c r="E987" s="3">
        <v>113198.96</v>
      </c>
    </row>
    <row r="988" spans="1:5" x14ac:dyDescent="0.45">
      <c r="A988">
        <v>2026</v>
      </c>
      <c r="B988">
        <v>5</v>
      </c>
      <c r="C988" s="4">
        <v>7601010</v>
      </c>
      <c r="D988" t="s">
        <v>335</v>
      </c>
      <c r="E988" s="3">
        <v>350.5</v>
      </c>
    </row>
    <row r="989" spans="1:5" x14ac:dyDescent="0.45">
      <c r="A989">
        <v>2026</v>
      </c>
      <c r="B989">
        <v>5</v>
      </c>
      <c r="C989" s="4">
        <v>760101010</v>
      </c>
      <c r="D989" t="s">
        <v>336</v>
      </c>
      <c r="E989" s="3">
        <v>350.5</v>
      </c>
    </row>
    <row r="990" spans="1:5" x14ac:dyDescent="0.45">
      <c r="A990">
        <v>2026</v>
      </c>
      <c r="B990">
        <v>5</v>
      </c>
      <c r="C990" s="4">
        <v>7601015</v>
      </c>
      <c r="D990" t="s">
        <v>337</v>
      </c>
      <c r="E990" s="3">
        <v>438.96</v>
      </c>
    </row>
    <row r="991" spans="1:5" x14ac:dyDescent="0.45">
      <c r="A991">
        <v>2026</v>
      </c>
      <c r="B991">
        <v>5</v>
      </c>
      <c r="C991" s="4">
        <v>760101510</v>
      </c>
      <c r="D991" t="s">
        <v>338</v>
      </c>
      <c r="E991" s="3">
        <v>438.96</v>
      </c>
    </row>
    <row r="992" spans="1:5" x14ac:dyDescent="0.45">
      <c r="A992">
        <v>2026</v>
      </c>
      <c r="B992">
        <v>5</v>
      </c>
      <c r="C992" s="4">
        <v>7601025</v>
      </c>
      <c r="D992" t="s">
        <v>339</v>
      </c>
      <c r="E992" s="3">
        <v>4351.1400000000003</v>
      </c>
    </row>
    <row r="993" spans="1:5" x14ac:dyDescent="0.45">
      <c r="A993">
        <v>2026</v>
      </c>
      <c r="B993">
        <v>5</v>
      </c>
      <c r="C993" s="4">
        <v>760102515</v>
      </c>
      <c r="D993" t="s">
        <v>340</v>
      </c>
      <c r="E993" s="3">
        <v>2128.14</v>
      </c>
    </row>
    <row r="994" spans="1:5" x14ac:dyDescent="0.45">
      <c r="A994">
        <v>2026</v>
      </c>
      <c r="B994">
        <v>5</v>
      </c>
      <c r="C994" s="4">
        <v>760102520</v>
      </c>
      <c r="D994" t="s">
        <v>341</v>
      </c>
      <c r="E994" s="3">
        <v>573</v>
      </c>
    </row>
    <row r="995" spans="1:5" x14ac:dyDescent="0.45">
      <c r="A995">
        <v>2026</v>
      </c>
      <c r="B995">
        <v>5</v>
      </c>
      <c r="C995" s="4">
        <v>760102525</v>
      </c>
      <c r="D995" t="s">
        <v>342</v>
      </c>
      <c r="E995" s="3">
        <v>1650</v>
      </c>
    </row>
    <row r="996" spans="1:5" x14ac:dyDescent="0.45">
      <c r="A996">
        <v>2026</v>
      </c>
      <c r="B996">
        <v>5</v>
      </c>
      <c r="C996" s="4">
        <v>7601035</v>
      </c>
      <c r="D996" t="s">
        <v>343</v>
      </c>
      <c r="E996" s="3">
        <v>108058.36</v>
      </c>
    </row>
    <row r="997" spans="1:5" x14ac:dyDescent="0.45">
      <c r="A997">
        <v>2026</v>
      </c>
      <c r="B997">
        <v>5</v>
      </c>
      <c r="C997" s="4">
        <v>760103510</v>
      </c>
      <c r="D997" t="s">
        <v>343</v>
      </c>
      <c r="E997" s="3">
        <v>108</v>
      </c>
    </row>
    <row r="998" spans="1:5" x14ac:dyDescent="0.45">
      <c r="A998">
        <v>2026</v>
      </c>
      <c r="B998">
        <v>5</v>
      </c>
      <c r="C998" s="4">
        <v>760103525</v>
      </c>
      <c r="D998" t="s">
        <v>344</v>
      </c>
      <c r="E998" s="3">
        <v>66454.91</v>
      </c>
    </row>
    <row r="999" spans="1:5" x14ac:dyDescent="0.45">
      <c r="A999">
        <v>2026</v>
      </c>
      <c r="B999">
        <v>5</v>
      </c>
      <c r="C999" s="4">
        <v>760103550</v>
      </c>
      <c r="D999" t="s">
        <v>345</v>
      </c>
      <c r="E999" s="3">
        <v>80</v>
      </c>
    </row>
    <row r="1000" spans="1:5" x14ac:dyDescent="0.45">
      <c r="A1000">
        <v>2026</v>
      </c>
      <c r="B1000">
        <v>5</v>
      </c>
      <c r="C1000" s="4">
        <v>760103551</v>
      </c>
      <c r="D1000" t="s">
        <v>346</v>
      </c>
      <c r="E1000" s="3">
        <v>41415.449999999997</v>
      </c>
    </row>
    <row r="1001" spans="1:5" x14ac:dyDescent="0.45">
      <c r="A1001">
        <v>2026</v>
      </c>
      <c r="B1001">
        <v>5</v>
      </c>
      <c r="C1001" s="4">
        <v>76015</v>
      </c>
      <c r="D1001" t="s">
        <v>347</v>
      </c>
      <c r="E1001" s="3">
        <v>3204.17</v>
      </c>
    </row>
    <row r="1002" spans="1:5" x14ac:dyDescent="0.45">
      <c r="A1002">
        <v>2026</v>
      </c>
      <c r="B1002">
        <v>5</v>
      </c>
      <c r="C1002" s="4">
        <v>7601510</v>
      </c>
      <c r="D1002" t="s">
        <v>348</v>
      </c>
      <c r="E1002" s="3">
        <v>1958</v>
      </c>
    </row>
    <row r="1003" spans="1:5" x14ac:dyDescent="0.45">
      <c r="A1003">
        <v>2026</v>
      </c>
      <c r="B1003">
        <v>5</v>
      </c>
      <c r="C1003" s="4">
        <v>7601520</v>
      </c>
      <c r="D1003" t="s">
        <v>349</v>
      </c>
      <c r="E1003" s="3">
        <v>1246.17</v>
      </c>
    </row>
    <row r="1004" spans="1:5" x14ac:dyDescent="0.45">
      <c r="A1004">
        <v>2026</v>
      </c>
      <c r="B1004">
        <v>5</v>
      </c>
      <c r="C1004" s="4">
        <v>76020</v>
      </c>
      <c r="D1004" t="s">
        <v>230</v>
      </c>
      <c r="E1004" s="3">
        <v>33099.75</v>
      </c>
    </row>
    <row r="1005" spans="1:5" x14ac:dyDescent="0.45">
      <c r="A1005">
        <v>2026</v>
      </c>
      <c r="B1005">
        <v>5</v>
      </c>
      <c r="C1005" s="4">
        <v>76020015</v>
      </c>
      <c r="D1005" t="s">
        <v>350</v>
      </c>
      <c r="E1005" s="3">
        <v>18</v>
      </c>
    </row>
    <row r="1006" spans="1:5" x14ac:dyDescent="0.45">
      <c r="A1006">
        <v>2026</v>
      </c>
      <c r="B1006">
        <v>5</v>
      </c>
      <c r="C1006" s="4">
        <v>76020020</v>
      </c>
      <c r="D1006" t="s">
        <v>351</v>
      </c>
      <c r="E1006" s="3">
        <v>1534.51</v>
      </c>
    </row>
    <row r="1007" spans="1:5" x14ac:dyDescent="0.45">
      <c r="A1007">
        <v>2026</v>
      </c>
      <c r="B1007">
        <v>5</v>
      </c>
      <c r="C1007" s="4">
        <v>76020025</v>
      </c>
      <c r="D1007" t="s">
        <v>352</v>
      </c>
      <c r="E1007" s="3">
        <v>178.94</v>
      </c>
    </row>
    <row r="1008" spans="1:5" x14ac:dyDescent="0.45">
      <c r="A1008">
        <v>2026</v>
      </c>
      <c r="B1008">
        <v>5</v>
      </c>
      <c r="C1008" s="4">
        <v>76020104</v>
      </c>
      <c r="D1008" t="s">
        <v>353</v>
      </c>
      <c r="E1008" s="3">
        <v>30734.6</v>
      </c>
    </row>
    <row r="1009" spans="1:5" x14ac:dyDescent="0.45">
      <c r="A1009">
        <v>2026</v>
      </c>
      <c r="B1009">
        <v>5</v>
      </c>
      <c r="C1009" s="4">
        <v>76020107</v>
      </c>
      <c r="D1009" t="s">
        <v>354</v>
      </c>
      <c r="E1009" s="3">
        <v>4</v>
      </c>
    </row>
    <row r="1010" spans="1:5" x14ac:dyDescent="0.45">
      <c r="A1010">
        <v>2026</v>
      </c>
      <c r="B1010">
        <v>5</v>
      </c>
      <c r="C1010" s="4">
        <v>76020120</v>
      </c>
      <c r="D1010" t="s">
        <v>355</v>
      </c>
      <c r="E1010" s="3">
        <v>628.74</v>
      </c>
    </row>
    <row r="1011" spans="1:5" x14ac:dyDescent="0.45">
      <c r="A1011">
        <v>2026</v>
      </c>
      <c r="B1011">
        <v>5</v>
      </c>
      <c r="C1011" s="4">
        <v>76020500</v>
      </c>
      <c r="D1011" t="s">
        <v>356</v>
      </c>
      <c r="E1011" s="3">
        <v>0.59</v>
      </c>
    </row>
    <row r="1012" spans="1:5" x14ac:dyDescent="0.45">
      <c r="A1012">
        <v>2026</v>
      </c>
      <c r="B1012">
        <v>5</v>
      </c>
      <c r="C1012" s="4">
        <v>76020501</v>
      </c>
      <c r="D1012" t="s">
        <v>357</v>
      </c>
      <c r="E1012" s="3">
        <v>0.37</v>
      </c>
    </row>
    <row r="1013" spans="1:5" x14ac:dyDescent="0.45">
      <c r="A1013">
        <v>2026</v>
      </c>
      <c r="B1013">
        <v>5</v>
      </c>
      <c r="C1013" s="4">
        <v>840</v>
      </c>
      <c r="D1013" t="s">
        <v>358</v>
      </c>
      <c r="E1013" s="3">
        <v>1.41</v>
      </c>
    </row>
    <row r="1014" spans="1:5" x14ac:dyDescent="0.45">
      <c r="A1014">
        <v>2026</v>
      </c>
      <c r="B1014">
        <v>5</v>
      </c>
      <c r="C1014" s="4">
        <v>84015</v>
      </c>
      <c r="D1014" t="s">
        <v>359</v>
      </c>
      <c r="E1014" s="3">
        <v>1.41</v>
      </c>
    </row>
    <row r="1015" spans="1:5" x14ac:dyDescent="0.45">
      <c r="A1015">
        <v>2026</v>
      </c>
      <c r="B1015">
        <v>5</v>
      </c>
      <c r="C1015" s="4">
        <v>8401510</v>
      </c>
      <c r="D1015" t="s">
        <v>360</v>
      </c>
      <c r="E1015" s="3">
        <v>1.41</v>
      </c>
    </row>
    <row r="1016" spans="1:5" x14ac:dyDescent="0.45">
      <c r="A1016">
        <v>2026</v>
      </c>
      <c r="B1016">
        <v>5</v>
      </c>
      <c r="C1016" s="4">
        <v>850</v>
      </c>
      <c r="D1016" t="s">
        <v>361</v>
      </c>
      <c r="E1016" s="3">
        <v>9560.35</v>
      </c>
    </row>
    <row r="1017" spans="1:5" x14ac:dyDescent="0.45">
      <c r="A1017">
        <v>2026</v>
      </c>
      <c r="B1017">
        <v>5</v>
      </c>
      <c r="C1017" s="4">
        <v>85015</v>
      </c>
      <c r="D1017" t="s">
        <v>362</v>
      </c>
      <c r="E1017" s="3">
        <v>9560.35</v>
      </c>
    </row>
    <row r="1018" spans="1:5" x14ac:dyDescent="0.45">
      <c r="A1018">
        <v>2026</v>
      </c>
      <c r="B1018">
        <v>5</v>
      </c>
      <c r="C1018" s="4">
        <v>85015040</v>
      </c>
      <c r="D1018" t="s">
        <v>363</v>
      </c>
      <c r="E1018" s="3">
        <v>17.829999999999998</v>
      </c>
    </row>
    <row r="1019" spans="1:5" x14ac:dyDescent="0.45">
      <c r="A1019">
        <v>2026</v>
      </c>
      <c r="B1019">
        <v>5</v>
      </c>
      <c r="C1019" s="4">
        <v>85015050</v>
      </c>
      <c r="D1019" t="s">
        <v>364</v>
      </c>
      <c r="E1019" s="3">
        <v>276.26</v>
      </c>
    </row>
    <row r="1020" spans="1:5" x14ac:dyDescent="0.45">
      <c r="A1020">
        <v>2026</v>
      </c>
      <c r="B1020">
        <v>5</v>
      </c>
      <c r="C1020" s="4">
        <v>85015052</v>
      </c>
      <c r="D1020" t="s">
        <v>365</v>
      </c>
      <c r="E1020" s="3">
        <v>4.9000000000000004</v>
      </c>
    </row>
    <row r="1021" spans="1:5" x14ac:dyDescent="0.45">
      <c r="A1021">
        <v>2026</v>
      </c>
      <c r="B1021">
        <v>5</v>
      </c>
      <c r="C1021" s="4">
        <v>85015053</v>
      </c>
      <c r="D1021" t="s">
        <v>366</v>
      </c>
      <c r="E1021" s="3">
        <v>6301.1</v>
      </c>
    </row>
    <row r="1022" spans="1:5" x14ac:dyDescent="0.45">
      <c r="A1022">
        <v>2026</v>
      </c>
      <c r="B1022">
        <v>5</v>
      </c>
      <c r="C1022" s="4">
        <v>85015090</v>
      </c>
      <c r="D1022" t="s">
        <v>367</v>
      </c>
      <c r="E1022" s="3">
        <v>2960.26</v>
      </c>
    </row>
    <row r="1023" spans="1:5" x14ac:dyDescent="0.45">
      <c r="A1023">
        <v>2026</v>
      </c>
      <c r="B1023">
        <v>5</v>
      </c>
      <c r="D1023" t="s">
        <v>368</v>
      </c>
      <c r="E1023" s="3">
        <v>0</v>
      </c>
    </row>
    <row r="1024" spans="1:5" x14ac:dyDescent="0.45">
      <c r="A1024">
        <v>2026</v>
      </c>
      <c r="B1024">
        <v>5</v>
      </c>
      <c r="D1024" t="s">
        <v>369</v>
      </c>
      <c r="E1024" s="3">
        <v>268856.61</v>
      </c>
    </row>
    <row r="1025" spans="1:5" x14ac:dyDescent="0.45">
      <c r="A1025">
        <v>2026</v>
      </c>
      <c r="B1025">
        <v>5</v>
      </c>
      <c r="D1025" t="s">
        <v>370</v>
      </c>
      <c r="E1025" s="3">
        <v>416108.64</v>
      </c>
    </row>
    <row r="1026" spans="1:5" x14ac:dyDescent="0.45">
      <c r="A1026">
        <v>2026</v>
      </c>
      <c r="B1026">
        <v>5</v>
      </c>
      <c r="D1026" t="s">
        <v>371</v>
      </c>
      <c r="E1026" s="3">
        <v>147252.03</v>
      </c>
    </row>
    <row r="1027" spans="1:5" x14ac:dyDescent="0.45">
      <c r="A1027">
        <v>2026</v>
      </c>
      <c r="B1027">
        <v>5</v>
      </c>
      <c r="D1027" t="s">
        <v>372</v>
      </c>
      <c r="E1027" s="3">
        <v>0</v>
      </c>
    </row>
    <row r="1028" spans="1:5" x14ac:dyDescent="0.45">
      <c r="A1028">
        <v>2026</v>
      </c>
      <c r="B1028">
        <v>5</v>
      </c>
      <c r="D1028" t="s">
        <v>373</v>
      </c>
      <c r="E1028" s="3">
        <v>1194754.76</v>
      </c>
    </row>
    <row r="1029" spans="1:5" x14ac:dyDescent="0.45">
      <c r="A1029">
        <v>2026</v>
      </c>
      <c r="B1029">
        <v>5</v>
      </c>
      <c r="D1029" t="s">
        <v>374</v>
      </c>
      <c r="E1029" s="3">
        <v>1342006.79</v>
      </c>
    </row>
    <row r="1030" spans="1:5" x14ac:dyDescent="0.45">
      <c r="A1030">
        <v>2026</v>
      </c>
      <c r="B1030">
        <v>5</v>
      </c>
      <c r="D1030" t="s">
        <v>375</v>
      </c>
      <c r="E1030" s="3">
        <v>-147252.03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7B95-2EE1-427C-9F2C-70802DA4EEC2}">
  <dimension ref="A1:F9"/>
  <sheetViews>
    <sheetView workbookViewId="0">
      <selection activeCell="D4" sqref="D4"/>
    </sheetView>
  </sheetViews>
  <sheetFormatPr baseColWidth="10" defaultRowHeight="14.25" x14ac:dyDescent="0.45"/>
  <cols>
    <col min="2" max="2" width="12.73046875" customWidth="1"/>
    <col min="4" max="4" width="21.59765625" customWidth="1"/>
    <col min="5" max="5" width="23.59765625" customWidth="1"/>
  </cols>
  <sheetData>
    <row r="1" spans="1:6" x14ac:dyDescent="0.45">
      <c r="A1" t="s">
        <v>32</v>
      </c>
      <c r="B1" t="s">
        <v>1</v>
      </c>
      <c r="C1" t="s">
        <v>0</v>
      </c>
      <c r="D1" t="s">
        <v>33</v>
      </c>
      <c r="E1" t="s">
        <v>34</v>
      </c>
      <c r="F1" t="s">
        <v>35</v>
      </c>
    </row>
    <row r="2" spans="1:6" x14ac:dyDescent="0.45">
      <c r="A2" t="s">
        <v>36</v>
      </c>
      <c r="B2" t="s">
        <v>37</v>
      </c>
      <c r="C2">
        <v>720151015</v>
      </c>
      <c r="D2">
        <v>2467.35</v>
      </c>
      <c r="E2">
        <f t="shared" ref="E2:E7" si="0">D2/12</f>
        <v>205.61249999999998</v>
      </c>
      <c r="F2" t="s">
        <v>38</v>
      </c>
    </row>
    <row r="3" spans="1:6" x14ac:dyDescent="0.45">
      <c r="A3" t="s">
        <v>36</v>
      </c>
      <c r="B3" t="s">
        <v>39</v>
      </c>
      <c r="C3">
        <v>720151025</v>
      </c>
      <c r="D3">
        <v>12018.85</v>
      </c>
      <c r="E3">
        <f t="shared" si="0"/>
        <v>1001.5708333333333</v>
      </c>
      <c r="F3" t="s">
        <v>38</v>
      </c>
    </row>
    <row r="4" spans="1:6" x14ac:dyDescent="0.45">
      <c r="A4" t="s">
        <v>36</v>
      </c>
      <c r="B4" t="s">
        <v>40</v>
      </c>
      <c r="C4">
        <v>720151029</v>
      </c>
      <c r="D4">
        <v>68</v>
      </c>
      <c r="E4">
        <f t="shared" si="0"/>
        <v>5.666666666666667</v>
      </c>
      <c r="F4" t="s">
        <v>38</v>
      </c>
    </row>
    <row r="5" spans="1:6" x14ac:dyDescent="0.45">
      <c r="A5" t="s">
        <v>41</v>
      </c>
      <c r="B5" t="s">
        <v>42</v>
      </c>
      <c r="C5">
        <v>4801051</v>
      </c>
      <c r="D5">
        <v>18227</v>
      </c>
      <c r="E5">
        <f t="shared" si="0"/>
        <v>1518.9166666666667</v>
      </c>
      <c r="F5" t="s">
        <v>38</v>
      </c>
    </row>
    <row r="6" spans="1:6" x14ac:dyDescent="0.45">
      <c r="A6" t="s">
        <v>41</v>
      </c>
      <c r="B6" t="s">
        <v>43</v>
      </c>
      <c r="C6">
        <v>4801051</v>
      </c>
      <c r="D6">
        <v>18227</v>
      </c>
      <c r="E6">
        <f t="shared" si="0"/>
        <v>1518.9166666666667</v>
      </c>
      <c r="F6" t="s">
        <v>38</v>
      </c>
    </row>
    <row r="7" spans="1:6" x14ac:dyDescent="0.45">
      <c r="A7" t="s">
        <v>41</v>
      </c>
      <c r="B7" t="s">
        <v>44</v>
      </c>
      <c r="C7">
        <v>4801053</v>
      </c>
      <c r="D7">
        <v>1629.09</v>
      </c>
      <c r="E7">
        <f t="shared" si="0"/>
        <v>135.75749999999999</v>
      </c>
      <c r="F7" t="s">
        <v>38</v>
      </c>
    </row>
    <row r="9" spans="1:6" x14ac:dyDescent="0.45">
      <c r="A9" s="1" t="s">
        <v>45</v>
      </c>
      <c r="D9">
        <f>SUM(D2:D7)</f>
        <v>52637.289999999994</v>
      </c>
      <c r="E9">
        <f>SUM(E2:E7)</f>
        <v>4386.4408333333331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ADBF50-D89B-4BFC-B2DA-F8213E082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Dashboard</vt:lpstr>
      <vt:lpstr>Stammdaten</vt:lpstr>
      <vt:lpstr>Monatsexporte</vt:lpstr>
      <vt:lpstr>Kalk_Werte</vt:lpstr>
      <vt:lpstr>AktuellerMonat</vt:lpstr>
      <vt:lpstr>Jahr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Gamper</dc:creator>
  <cp:lastModifiedBy>Sophie Gamper</cp:lastModifiedBy>
  <dcterms:created xsi:type="dcterms:W3CDTF">2026-05-29T13:38:25Z</dcterms:created>
  <dcterms:modified xsi:type="dcterms:W3CDTF">2026-06-23T07:21:40Z</dcterms:modified>
</cp:coreProperties>
</file>